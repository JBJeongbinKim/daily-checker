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577BD8629ECA2/Personal/Workout/"/>
    </mc:Choice>
  </mc:AlternateContent>
  <xr:revisionPtr revIDLastSave="4559" documentId="8_{647696CC-F79E-4226-8157-25C6043BCCA7}" xr6:coauthVersionLast="47" xr6:coauthVersionMax="47" xr10:uidLastSave="{64D87C2F-29E2-420C-9614-E74AD2DD08A9}"/>
  <bookViews>
    <workbookView xWindow="-120" yWindow="-120" windowWidth="29040" windowHeight="17520" tabRatio="724" activeTab="1" xr2:uid="{CBB44387-39AA-4C2D-B35A-61597C4CDE5B}"/>
  </bookViews>
  <sheets>
    <sheet name="Races" sheetId="5" r:id="rId1"/>
    <sheet name="Nike training program_42k" sheetId="12" r:id="rId2"/>
    <sheet name="Nike pace chart" sheetId="2" r:id="rId3"/>
    <sheet name="Individual pace" sheetId="10" r:id="rId4"/>
    <sheet name="Reference &gt;&gt;" sheetId="6" r:id="rId5"/>
    <sheet name="Marathon pace" sheetId="4" r:id="rId6"/>
    <sheet name="Map" sheetId="7" state="hidden" r:id="rId7"/>
    <sheet name="Nike training program_10k" sheetId="3" state="hidden" r:id="rId8"/>
    <sheet name="Daily workout" sheetId="11" r:id="rId9"/>
    <sheet name="Nike training program_21k" sheetId="8" state="hidden" r:id="rId10"/>
  </sheets>
  <definedNames>
    <definedName name="_xlnm._FilterDatabase" localSheetId="7" hidden="1">'Nike training program_10k'!$B$3:$AA$91</definedName>
    <definedName name="_xlnm._FilterDatabase" localSheetId="9" hidden="1">'Nike training program_21k'!$B$3:$BA$135</definedName>
    <definedName name="_xlnm._FilterDatabase" localSheetId="1" hidden="1">'Nike training program_42k'!$AC$3:$BE$101</definedName>
    <definedName name="_xlnm._FilterDatabase" localSheetId="0" hidden="1">Races!$B$3:$R$139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" i="8" l="1"/>
  <c r="AP2" i="8"/>
  <c r="AK2" i="8"/>
  <c r="AF2" i="8"/>
  <c r="BE2" i="3"/>
  <c r="AG2" i="3"/>
  <c r="AY2" i="3"/>
  <c r="AS2" i="3"/>
  <c r="AX63" i="3"/>
  <c r="AL43" i="3"/>
  <c r="AL44" i="3"/>
  <c r="AL45" i="3"/>
  <c r="AL46" i="3"/>
  <c r="AR86" i="3"/>
  <c r="AR71" i="3"/>
  <c r="AR59" i="3"/>
  <c r="AR49" i="3"/>
  <c r="AR41" i="3"/>
  <c r="AF86" i="3"/>
  <c r="AF71" i="3"/>
  <c r="AF59" i="3"/>
  <c r="AF49" i="3"/>
  <c r="AF41" i="3"/>
  <c r="BD36" i="3"/>
  <c r="BD35" i="3"/>
  <c r="BD34" i="3"/>
  <c r="BD33" i="3"/>
  <c r="AR33" i="3"/>
  <c r="AF33" i="3"/>
  <c r="AX23" i="3"/>
  <c r="AR22" i="3"/>
  <c r="AF22" i="3"/>
  <c r="BD87" i="3"/>
  <c r="BD88" i="3"/>
  <c r="BD89" i="3"/>
  <c r="BD90" i="3"/>
  <c r="BD91" i="3"/>
  <c r="BD92" i="3"/>
  <c r="BD93" i="3"/>
  <c r="BD94" i="3"/>
  <c r="BD95" i="3"/>
  <c r="BD86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71" i="3"/>
  <c r="BD72" i="3"/>
  <c r="BD73" i="3"/>
  <c r="BD74" i="3"/>
  <c r="BD75" i="3"/>
  <c r="BD76" i="3"/>
  <c r="BD77" i="3"/>
  <c r="BD78" i="3"/>
  <c r="BD79" i="3"/>
  <c r="BD80" i="3"/>
  <c r="AX61" i="3"/>
  <c r="AX62" i="3"/>
  <c r="AX60" i="3"/>
  <c r="AL51" i="3"/>
  <c r="AL52" i="3"/>
  <c r="AL53" i="3"/>
  <c r="AL50" i="3"/>
  <c r="AL42" i="3"/>
  <c r="BP8" i="2"/>
  <c r="BQ8" i="2"/>
  <c r="P31" i="4"/>
  <c r="BD37" i="3"/>
  <c r="BD38" i="3"/>
  <c r="BD39" i="3"/>
  <c r="BD26" i="3"/>
  <c r="BD25" i="3"/>
  <c r="BD24" i="3"/>
  <c r="BD23" i="3"/>
  <c r="BD22" i="3"/>
  <c r="BD5" i="3"/>
  <c r="BD6" i="3"/>
  <c r="BD7" i="3"/>
  <c r="BD8" i="3"/>
  <c r="BD4" i="3"/>
  <c r="G23" i="10"/>
  <c r="H23" i="10"/>
  <c r="G22" i="10"/>
  <c r="H22" i="10"/>
  <c r="G21" i="10"/>
  <c r="H21" i="10"/>
  <c r="G20" i="10"/>
  <c r="H20" i="10"/>
  <c r="G19" i="10"/>
  <c r="H19" i="10"/>
  <c r="G18" i="10"/>
  <c r="H18" i="10"/>
  <c r="G17" i="10"/>
  <c r="H17" i="10"/>
  <c r="G16" i="10"/>
  <c r="H16" i="10"/>
  <c r="G15" i="10"/>
  <c r="H15" i="10"/>
  <c r="G14" i="10"/>
  <c r="H14" i="10"/>
  <c r="G12" i="10"/>
  <c r="H12" i="10"/>
  <c r="G5" i="10"/>
  <c r="H5" i="10"/>
  <c r="G4" i="10"/>
  <c r="H4" i="10"/>
  <c r="C5" i="10"/>
  <c r="D5" i="10"/>
  <c r="D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F13" i="4"/>
  <c r="L26" i="4"/>
  <c r="B26" i="4"/>
  <c r="L27" i="4"/>
  <c r="B27" i="4"/>
  <c r="L28" i="4"/>
  <c r="B28" i="4"/>
  <c r="L29" i="4"/>
  <c r="B29" i="4"/>
  <c r="L30" i="4"/>
  <c r="B30" i="4"/>
  <c r="L31" i="4"/>
  <c r="B31" i="4"/>
  <c r="L32" i="4"/>
  <c r="B32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20" i="4"/>
  <c r="J20" i="4"/>
  <c r="I21" i="4"/>
  <c r="J21" i="4"/>
  <c r="I22" i="4"/>
  <c r="J22" i="4"/>
  <c r="I23" i="4"/>
  <c r="J23" i="4"/>
  <c r="I24" i="4"/>
  <c r="J24" i="4"/>
  <c r="I25" i="4"/>
  <c r="J25" i="4"/>
  <c r="J19" i="4"/>
  <c r="I19" i="4"/>
  <c r="J18" i="4"/>
  <c r="I18" i="4"/>
  <c r="J10" i="4"/>
  <c r="I10" i="4"/>
  <c r="J9" i="4"/>
  <c r="K9" i="4"/>
  <c r="I9" i="4"/>
  <c r="C3" i="4"/>
  <c r="I5" i="4"/>
  <c r="J5" i="4"/>
  <c r="I6" i="4"/>
  <c r="J6" i="4"/>
  <c r="I7" i="4"/>
  <c r="J7" i="4"/>
  <c r="I8" i="4"/>
  <c r="J8" i="4"/>
  <c r="J4" i="4"/>
  <c r="I4" i="4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6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6" i="2"/>
  <c r="V7" i="2"/>
  <c r="W7" i="2"/>
  <c r="V8" i="2"/>
  <c r="W8" i="2"/>
  <c r="X8" i="2"/>
  <c r="V9" i="2"/>
  <c r="X9" i="2"/>
  <c r="V10" i="2"/>
  <c r="X10" i="2"/>
  <c r="V11" i="2"/>
  <c r="W11" i="2"/>
  <c r="V12" i="2"/>
  <c r="X12" i="2"/>
  <c r="V13" i="2"/>
  <c r="W13" i="2"/>
  <c r="V14" i="2"/>
  <c r="W14" i="2"/>
  <c r="X14" i="2"/>
  <c r="V15" i="2"/>
  <c r="W15" i="2"/>
  <c r="X15" i="2"/>
  <c r="V16" i="2"/>
  <c r="W16" i="2"/>
  <c r="V17" i="2"/>
  <c r="W17" i="2"/>
  <c r="V18" i="2"/>
  <c r="X18" i="2"/>
  <c r="V19" i="2"/>
  <c r="X19" i="2"/>
  <c r="V20" i="2"/>
  <c r="W20" i="2"/>
  <c r="V6" i="2"/>
  <c r="W6" i="2"/>
  <c r="X6" i="2"/>
  <c r="AD6" i="2"/>
  <c r="AF6" i="2"/>
  <c r="AJ6" i="2"/>
  <c r="AL6" i="2"/>
  <c r="AO6" i="2"/>
  <c r="AU6" i="2"/>
  <c r="AV6" i="2"/>
  <c r="BA6" i="2"/>
  <c r="BC6" i="2"/>
  <c r="BG6" i="2"/>
  <c r="BI6" i="2"/>
  <c r="AD7" i="2"/>
  <c r="AF7" i="2"/>
  <c r="AJ7" i="2"/>
  <c r="AL7" i="2"/>
  <c r="AO7" i="2"/>
  <c r="AP7" i="2"/>
  <c r="AU7" i="2"/>
  <c r="AW7" i="2"/>
  <c r="BA7" i="2"/>
  <c r="BC7" i="2"/>
  <c r="BG7" i="2"/>
  <c r="BI7" i="2"/>
  <c r="AD8" i="2"/>
  <c r="AE8" i="2"/>
  <c r="AJ8" i="2"/>
  <c r="AK8" i="2"/>
  <c r="AO8" i="2"/>
  <c r="AP8" i="2"/>
  <c r="AU8" i="2"/>
  <c r="BA8" i="2"/>
  <c r="BC8" i="2"/>
  <c r="BG8" i="2"/>
  <c r="BI8" i="2"/>
  <c r="AD9" i="2"/>
  <c r="AE9" i="2"/>
  <c r="AJ9" i="2"/>
  <c r="AK9" i="2"/>
  <c r="AO9" i="2"/>
  <c r="AP9" i="2"/>
  <c r="AU9" i="2"/>
  <c r="AW9" i="2"/>
  <c r="BA9" i="2"/>
  <c r="BC9" i="2"/>
  <c r="BG9" i="2"/>
  <c r="BI9" i="2"/>
  <c r="AD10" i="2"/>
  <c r="AF10" i="2"/>
  <c r="AJ10" i="2"/>
  <c r="AL10" i="2"/>
  <c r="AO10" i="2"/>
  <c r="AQ10" i="2"/>
  <c r="AU10" i="2"/>
  <c r="AV10" i="2"/>
  <c r="BA10" i="2"/>
  <c r="BG10" i="2"/>
  <c r="BH10" i="2"/>
  <c r="AD11" i="2"/>
  <c r="AE11" i="2"/>
  <c r="AJ11" i="2"/>
  <c r="AK11" i="2"/>
  <c r="AO11" i="2"/>
  <c r="AQ11" i="2"/>
  <c r="AU11" i="2"/>
  <c r="AW11" i="2"/>
  <c r="BA11" i="2"/>
  <c r="BC11" i="2"/>
  <c r="BG11" i="2"/>
  <c r="BI11" i="2"/>
  <c r="AD12" i="2"/>
  <c r="AE12" i="2"/>
  <c r="AJ12" i="2"/>
  <c r="AL12" i="2"/>
  <c r="AO12" i="2"/>
  <c r="AQ12" i="2"/>
  <c r="AU12" i="2"/>
  <c r="BA12" i="2"/>
  <c r="BC12" i="2"/>
  <c r="BG12" i="2"/>
  <c r="BH12" i="2"/>
  <c r="AD13" i="2"/>
  <c r="AF13" i="2"/>
  <c r="AJ13" i="2"/>
  <c r="AL13" i="2"/>
  <c r="AO13" i="2"/>
  <c r="AQ13" i="2"/>
  <c r="AU13" i="2"/>
  <c r="AV13" i="2"/>
  <c r="BA13" i="2"/>
  <c r="BC13" i="2"/>
  <c r="BG13" i="2"/>
  <c r="BI13" i="2"/>
  <c r="AD14" i="2"/>
  <c r="AF14" i="2"/>
  <c r="AE14" i="2"/>
  <c r="AJ14" i="2"/>
  <c r="AL14" i="2"/>
  <c r="AO14" i="2"/>
  <c r="AP14" i="2"/>
  <c r="AU14" i="2"/>
  <c r="AV14" i="2"/>
  <c r="BA14" i="2"/>
  <c r="BB14" i="2"/>
  <c r="BG14" i="2"/>
  <c r="BH14" i="2"/>
  <c r="AD15" i="2"/>
  <c r="AF15" i="2"/>
  <c r="AJ15" i="2"/>
  <c r="AL15" i="2"/>
  <c r="AO15" i="2"/>
  <c r="AQ15" i="2"/>
  <c r="AU15" i="2"/>
  <c r="AV15" i="2"/>
  <c r="BA15" i="2"/>
  <c r="BC15" i="2"/>
  <c r="BG15" i="2"/>
  <c r="BI15" i="2"/>
  <c r="AD16" i="2"/>
  <c r="AE16" i="2"/>
  <c r="AJ16" i="2"/>
  <c r="AK16" i="2"/>
  <c r="AO16" i="2"/>
  <c r="AQ16" i="2"/>
  <c r="AU16" i="2"/>
  <c r="AV16" i="2"/>
  <c r="BA16" i="2"/>
  <c r="BC16" i="2"/>
  <c r="BG16" i="2"/>
  <c r="BI16" i="2"/>
  <c r="AD17" i="2"/>
  <c r="AF17" i="2"/>
  <c r="AJ17" i="2"/>
  <c r="AK17" i="2"/>
  <c r="AL17" i="2"/>
  <c r="AO17" i="2"/>
  <c r="AQ17" i="2"/>
  <c r="AU17" i="2"/>
  <c r="AV17" i="2"/>
  <c r="BA17" i="2"/>
  <c r="BB17" i="2"/>
  <c r="BF17" i="2"/>
  <c r="BC17" i="2"/>
  <c r="BG17" i="2"/>
  <c r="BI17" i="2"/>
  <c r="BH17" i="2"/>
  <c r="BJ17" i="2"/>
  <c r="AD18" i="2"/>
  <c r="AE18" i="2"/>
  <c r="AF18" i="2"/>
  <c r="AJ18" i="2"/>
  <c r="AK18" i="2"/>
  <c r="AO18" i="2"/>
  <c r="AQ18" i="2"/>
  <c r="AU18" i="2"/>
  <c r="AV18" i="2"/>
  <c r="BA18" i="2"/>
  <c r="BC18" i="2"/>
  <c r="BG18" i="2"/>
  <c r="BI18" i="2"/>
  <c r="AD19" i="2"/>
  <c r="AF19" i="2"/>
  <c r="AJ19" i="2"/>
  <c r="AL19" i="2"/>
  <c r="AK19" i="2"/>
  <c r="AO19" i="2"/>
  <c r="AQ19" i="2"/>
  <c r="AU19" i="2"/>
  <c r="AW19" i="2"/>
  <c r="AV19" i="2"/>
  <c r="AX19" i="2"/>
  <c r="BA19" i="2"/>
  <c r="BC19" i="2"/>
  <c r="BG19" i="2"/>
  <c r="BH19" i="2"/>
  <c r="AD20" i="2"/>
  <c r="AE20" i="2"/>
  <c r="AF20" i="2"/>
  <c r="AJ20" i="2"/>
  <c r="AK20" i="2"/>
  <c r="AO20" i="2"/>
  <c r="AQ20" i="2"/>
  <c r="AU20" i="2"/>
  <c r="AV20" i="2"/>
  <c r="BA20" i="2"/>
  <c r="BB20" i="2"/>
  <c r="BF20" i="2"/>
  <c r="BC20" i="2"/>
  <c r="BD20" i="2"/>
  <c r="BG20" i="2"/>
  <c r="BI20" i="2"/>
  <c r="Q7" i="2"/>
  <c r="R7" i="2"/>
  <c r="S7" i="2"/>
  <c r="Q8" i="2"/>
  <c r="S8" i="2"/>
  <c r="Q9" i="2"/>
  <c r="R9" i="2"/>
  <c r="Q10" i="2"/>
  <c r="R10" i="2"/>
  <c r="Q11" i="2"/>
  <c r="R11" i="2"/>
  <c r="Q12" i="2"/>
  <c r="Q13" i="2"/>
  <c r="R13" i="2"/>
  <c r="Q14" i="2"/>
  <c r="R14" i="2"/>
  <c r="Q15" i="2"/>
  <c r="R15" i="2"/>
  <c r="Q16" i="2"/>
  <c r="S16" i="2"/>
  <c r="Q17" i="2"/>
  <c r="S17" i="2"/>
  <c r="Q18" i="2"/>
  <c r="R18" i="2"/>
  <c r="Q19" i="2"/>
  <c r="S19" i="2"/>
  <c r="Q20" i="2"/>
  <c r="R20" i="2"/>
  <c r="S20" i="2"/>
  <c r="Q6" i="2"/>
  <c r="R6" i="2"/>
  <c r="F26" i="4"/>
  <c r="F32" i="4"/>
  <c r="F31" i="4"/>
  <c r="F30" i="4"/>
  <c r="F29" i="4"/>
  <c r="F28" i="4"/>
  <c r="F27" i="4"/>
  <c r="K31" i="4"/>
  <c r="K29" i="4"/>
  <c r="K27" i="4"/>
  <c r="G31" i="4"/>
  <c r="G29" i="4"/>
  <c r="G27" i="4"/>
  <c r="E31" i="4"/>
  <c r="E29" i="4"/>
  <c r="E27" i="4"/>
  <c r="D31" i="4"/>
  <c r="D29" i="4"/>
  <c r="D27" i="4"/>
  <c r="C31" i="4"/>
  <c r="C29" i="4"/>
  <c r="C27" i="4"/>
  <c r="K32" i="4"/>
  <c r="K30" i="4"/>
  <c r="K28" i="4"/>
  <c r="K26" i="4"/>
  <c r="G32" i="4"/>
  <c r="G30" i="4"/>
  <c r="G28" i="4"/>
  <c r="G26" i="4"/>
  <c r="E32" i="4"/>
  <c r="E30" i="4"/>
  <c r="E28" i="4"/>
  <c r="E26" i="4"/>
  <c r="D32" i="4"/>
  <c r="D30" i="4"/>
  <c r="D28" i="4"/>
  <c r="D26" i="4"/>
  <c r="C32" i="4"/>
  <c r="C30" i="4"/>
  <c r="C28" i="4"/>
  <c r="C26" i="4"/>
  <c r="K17" i="4"/>
  <c r="F17" i="4"/>
  <c r="K16" i="4"/>
  <c r="F16" i="4"/>
  <c r="K15" i="4"/>
  <c r="F15" i="4"/>
  <c r="K14" i="4"/>
  <c r="F14" i="4"/>
  <c r="K13" i="4"/>
  <c r="L13" i="4"/>
  <c r="K12" i="4"/>
  <c r="F12" i="4"/>
  <c r="K11" i="4"/>
  <c r="F11" i="4"/>
  <c r="K20" i="4"/>
  <c r="L20" i="4"/>
  <c r="H20" i="4"/>
  <c r="K25" i="4"/>
  <c r="L25" i="4"/>
  <c r="H25" i="4"/>
  <c r="K24" i="4"/>
  <c r="L24" i="4"/>
  <c r="D24" i="4"/>
  <c r="K23" i="4"/>
  <c r="L23" i="4"/>
  <c r="H23" i="4"/>
  <c r="K21" i="4"/>
  <c r="L21" i="4"/>
  <c r="H21" i="4"/>
  <c r="K10" i="4"/>
  <c r="K6" i="4"/>
  <c r="K4" i="4"/>
  <c r="K7" i="4"/>
  <c r="K8" i="4"/>
  <c r="K5" i="4"/>
  <c r="BH13" i="2"/>
  <c r="BB8" i="2"/>
  <c r="AK12" i="2"/>
  <c r="X17" i="2"/>
  <c r="X7" i="2"/>
  <c r="E24" i="4"/>
  <c r="L14" i="4"/>
  <c r="H14" i="4"/>
  <c r="E21" i="4"/>
  <c r="E23" i="4"/>
  <c r="L15" i="4"/>
  <c r="H15" i="4"/>
  <c r="L16" i="4"/>
  <c r="H16" i="4"/>
  <c r="C24" i="4"/>
  <c r="L17" i="4"/>
  <c r="H17" i="4"/>
  <c r="B24" i="4"/>
  <c r="G13" i="4"/>
  <c r="H13" i="4"/>
  <c r="G24" i="4"/>
  <c r="H24" i="4"/>
  <c r="B25" i="4"/>
  <c r="G25" i="4"/>
  <c r="B14" i="4"/>
  <c r="G14" i="4"/>
  <c r="G16" i="4"/>
  <c r="B21" i="4"/>
  <c r="G21" i="4"/>
  <c r="B15" i="4"/>
  <c r="G15" i="4"/>
  <c r="B17" i="4"/>
  <c r="G17" i="4"/>
  <c r="B23" i="4"/>
  <c r="G23" i="4"/>
  <c r="D20" i="4"/>
  <c r="G20" i="4"/>
  <c r="B13" i="4"/>
  <c r="E13" i="4"/>
  <c r="C13" i="4"/>
  <c r="E15" i="4"/>
  <c r="C14" i="4"/>
  <c r="C16" i="4"/>
  <c r="E14" i="4"/>
  <c r="E16" i="4"/>
  <c r="L11" i="4"/>
  <c r="L12" i="4"/>
  <c r="H12" i="4"/>
  <c r="E17" i="4"/>
  <c r="B20" i="4"/>
  <c r="C20" i="4"/>
  <c r="E20" i="4"/>
  <c r="C21" i="4"/>
  <c r="C23" i="4"/>
  <c r="D25" i="4"/>
  <c r="E25" i="4"/>
  <c r="C25" i="4"/>
  <c r="D21" i="4"/>
  <c r="D23" i="4"/>
  <c r="F8" i="4"/>
  <c r="L8" i="4"/>
  <c r="F5" i="4"/>
  <c r="L5" i="4"/>
  <c r="H5" i="4"/>
  <c r="F7" i="4"/>
  <c r="L7" i="4"/>
  <c r="F4" i="4"/>
  <c r="L4" i="4"/>
  <c r="F6" i="4"/>
  <c r="L6" i="4"/>
  <c r="H6" i="4"/>
  <c r="F10" i="4"/>
  <c r="L10" i="4"/>
  <c r="B16" i="4"/>
  <c r="C17" i="4"/>
  <c r="C15" i="4"/>
  <c r="G8" i="4"/>
  <c r="H8" i="4"/>
  <c r="G10" i="4"/>
  <c r="H10" i="4"/>
  <c r="G4" i="4"/>
  <c r="H4" i="4"/>
  <c r="G7" i="4"/>
  <c r="H7" i="4"/>
  <c r="G11" i="4"/>
  <c r="H11" i="4"/>
  <c r="D6" i="4"/>
  <c r="G6" i="4"/>
  <c r="D5" i="4"/>
  <c r="G5" i="4"/>
  <c r="B12" i="4"/>
  <c r="G12" i="4"/>
  <c r="E12" i="4"/>
  <c r="C12" i="4"/>
  <c r="B11" i="4"/>
  <c r="E11" i="4"/>
  <c r="C11" i="4"/>
  <c r="C5" i="4"/>
  <c r="E5" i="4"/>
  <c r="B10" i="4"/>
  <c r="C10" i="4"/>
  <c r="E10" i="4"/>
  <c r="C6" i="4"/>
  <c r="E6" i="4"/>
  <c r="D7" i="4"/>
  <c r="E7" i="4"/>
  <c r="C7" i="4"/>
  <c r="E8" i="4"/>
  <c r="E4" i="4"/>
  <c r="D8" i="4"/>
  <c r="C8" i="4"/>
  <c r="D4" i="4"/>
  <c r="C4" i="4"/>
  <c r="K18" i="4"/>
  <c r="F18" i="4"/>
  <c r="L18" i="4"/>
  <c r="H18" i="4"/>
  <c r="K19" i="4"/>
  <c r="L19" i="4"/>
  <c r="G19" i="4"/>
  <c r="H19" i="4"/>
  <c r="D18" i="4"/>
  <c r="G18" i="4"/>
  <c r="B18" i="4"/>
  <c r="C18" i="4"/>
  <c r="C19" i="4"/>
  <c r="E19" i="4"/>
  <c r="B19" i="4"/>
  <c r="D19" i="4"/>
  <c r="K22" i="4"/>
  <c r="L22" i="4"/>
  <c r="H22" i="4"/>
  <c r="G22" i="4"/>
  <c r="C22" i="4"/>
  <c r="D22" i="4"/>
  <c r="B22" i="4"/>
  <c r="E22" i="4"/>
  <c r="BH18" i="2"/>
  <c r="BJ18" i="2"/>
  <c r="AK7" i="2"/>
  <c r="AM7" i="2"/>
  <c r="BB7" i="2"/>
  <c r="W19" i="2"/>
  <c r="S15" i="2"/>
  <c r="X16" i="2"/>
  <c r="AF12" i="2"/>
  <c r="AW6" i="2"/>
  <c r="AW15" i="2"/>
  <c r="AE15" i="2"/>
  <c r="AE19" i="2"/>
  <c r="AG19" i="2"/>
  <c r="BH9" i="2"/>
  <c r="BB13" i="2"/>
  <c r="AG20" i="2"/>
  <c r="BB19" i="2"/>
  <c r="X13" i="2"/>
  <c r="AW20" i="2"/>
  <c r="BH16" i="2"/>
  <c r="BJ16" i="2"/>
  <c r="BK15" i="2"/>
  <c r="BF8" i="2"/>
  <c r="BI12" i="2"/>
  <c r="BJ12" i="2"/>
  <c r="X20" i="2"/>
  <c r="Y20" i="2"/>
  <c r="S14" i="2"/>
  <c r="AP20" i="2"/>
  <c r="AR20" i="2"/>
  <c r="AS19" i="2"/>
  <c r="AQ14" i="2"/>
  <c r="AR14" i="2"/>
  <c r="AQ9" i="2"/>
  <c r="AK15" i="2"/>
  <c r="AM15" i="2"/>
  <c r="S13" i="2"/>
  <c r="T13" i="2"/>
  <c r="AW16" i="2"/>
  <c r="AL9" i="2"/>
  <c r="AE6" i="2"/>
  <c r="AK14" i="2"/>
  <c r="AM14" i="2"/>
  <c r="AG12" i="2"/>
  <c r="AV9" i="2"/>
  <c r="AX9" i="2"/>
  <c r="S6" i="2"/>
  <c r="AV11" i="2"/>
  <c r="AX11" i="2"/>
  <c r="BH11" i="2"/>
  <c r="BJ11" i="2"/>
  <c r="BJ9" i="2"/>
  <c r="Y7" i="2"/>
  <c r="T7" i="2"/>
  <c r="AG14" i="2"/>
  <c r="Y8" i="2"/>
  <c r="Y19" i="2"/>
  <c r="AG18" i="2"/>
  <c r="AH17" i="2"/>
  <c r="AP12" i="2"/>
  <c r="AR12" i="2"/>
  <c r="AS11" i="2"/>
  <c r="Y17" i="2"/>
  <c r="BH8" i="2"/>
  <c r="BJ8" i="2"/>
  <c r="BH20" i="2"/>
  <c r="BJ20" i="2"/>
  <c r="AK10" i="2"/>
  <c r="AM10" i="2"/>
  <c r="AW17" i="2"/>
  <c r="AX17" i="2"/>
  <c r="BJ13" i="2"/>
  <c r="AQ8" i="2"/>
  <c r="AR8" i="2"/>
  <c r="AK6" i="2"/>
  <c r="AM6" i="2"/>
  <c r="AN6" i="2"/>
  <c r="AM19" i="2"/>
  <c r="BF7" i="2"/>
  <c r="BB12" i="2"/>
  <c r="BF12" i="2"/>
  <c r="BD7" i="2"/>
  <c r="AG6" i="2"/>
  <c r="AM12" i="2"/>
  <c r="AN11" i="2"/>
  <c r="BB6" i="2"/>
  <c r="BD6" i="2"/>
  <c r="BE6" i="2"/>
  <c r="AX20" i="2"/>
  <c r="AY19" i="2"/>
  <c r="AK13" i="2"/>
  <c r="AM13" i="2"/>
  <c r="Y6" i="2"/>
  <c r="AP10" i="2"/>
  <c r="S9" i="2"/>
  <c r="T9" i="2"/>
  <c r="AM9" i="2"/>
  <c r="AE7" i="2"/>
  <c r="AG7" i="2"/>
  <c r="AH6" i="2"/>
  <c r="BD8" i="2"/>
  <c r="BE7" i="2"/>
  <c r="AL16" i="2"/>
  <c r="AM16" i="2"/>
  <c r="AN15" i="2"/>
  <c r="BH6" i="2"/>
  <c r="BJ6" i="2"/>
  <c r="AL20" i="2"/>
  <c r="AL11" i="2"/>
  <c r="X11" i="2"/>
  <c r="BD17" i="2"/>
  <c r="AR9" i="2"/>
  <c r="S11" i="2"/>
  <c r="T11" i="2"/>
  <c r="AL18" i="2"/>
  <c r="AM18" i="2"/>
  <c r="AW14" i="2"/>
  <c r="AX14" i="2"/>
  <c r="W10" i="2"/>
  <c r="Y10" i="2"/>
  <c r="AF9" i="2"/>
  <c r="AG9" i="2"/>
  <c r="W18" i="2"/>
  <c r="Y18" i="2"/>
  <c r="W9" i="2"/>
  <c r="Y9" i="2"/>
  <c r="AH19" i="2"/>
  <c r="AH18" i="2"/>
  <c r="S10" i="2"/>
  <c r="T10" i="2"/>
  <c r="AP16" i="2"/>
  <c r="AR16" i="2"/>
  <c r="BK16" i="2"/>
  <c r="AX16" i="2"/>
  <c r="AY15" i="2"/>
  <c r="BB9" i="2"/>
  <c r="S18" i="2"/>
  <c r="T18" i="2"/>
  <c r="AF11" i="2"/>
  <c r="AG11" i="2"/>
  <c r="AH10" i="2"/>
  <c r="Y15" i="2"/>
  <c r="AE17" i="2"/>
  <c r="AG17" i="2"/>
  <c r="R17" i="2"/>
  <c r="T17" i="2"/>
  <c r="AM20" i="2"/>
  <c r="BI14" i="2"/>
  <c r="BJ14" i="2"/>
  <c r="AW13" i="2"/>
  <c r="AX13" i="2"/>
  <c r="BI10" i="2"/>
  <c r="BJ10" i="2"/>
  <c r="T20" i="2"/>
  <c r="AP11" i="2"/>
  <c r="AR11" i="2"/>
  <c r="T6" i="2"/>
  <c r="AL8" i="2"/>
  <c r="AM8" i="2"/>
  <c r="AN8" i="2"/>
  <c r="BB18" i="2"/>
  <c r="R16" i="2"/>
  <c r="T16" i="2"/>
  <c r="R8" i="2"/>
  <c r="T8" i="2"/>
  <c r="U7" i="2"/>
  <c r="BC14" i="2"/>
  <c r="BD14" i="2"/>
  <c r="AP13" i="2"/>
  <c r="AR13" i="2"/>
  <c r="AS12" i="2"/>
  <c r="AW18" i="2"/>
  <c r="AX18" i="2"/>
  <c r="Y16" i="2"/>
  <c r="AR10" i="2"/>
  <c r="BB11" i="2"/>
  <c r="BD11" i="2"/>
  <c r="BI19" i="2"/>
  <c r="BJ19" i="2"/>
  <c r="BK18" i="2"/>
  <c r="BH15" i="2"/>
  <c r="BJ15" i="2"/>
  <c r="AW10" i="2"/>
  <c r="AX10" i="2"/>
  <c r="AF8" i="2"/>
  <c r="AG8" i="2"/>
  <c r="W12" i="2"/>
  <c r="Y12" i="2"/>
  <c r="AG15" i="2"/>
  <c r="AX6" i="2"/>
  <c r="AV7" i="2"/>
  <c r="AX7" i="2"/>
  <c r="Y13" i="2"/>
  <c r="AP18" i="2"/>
  <c r="AR18" i="2"/>
  <c r="BB15" i="2"/>
  <c r="AE13" i="2"/>
  <c r="AG13" i="2"/>
  <c r="AH13" i="2"/>
  <c r="BH7" i="2"/>
  <c r="BJ7" i="2"/>
  <c r="AN9" i="2"/>
  <c r="AX15" i="2"/>
  <c r="T14" i="2"/>
  <c r="AP19" i="2"/>
  <c r="AR19" i="2"/>
  <c r="BB16" i="2"/>
  <c r="AP15" i="2"/>
  <c r="AR15" i="2"/>
  <c r="AE10" i="2"/>
  <c r="AG10" i="2"/>
  <c r="AM17" i="2"/>
  <c r="AA18" i="2"/>
  <c r="Y11" i="2"/>
  <c r="AP17" i="2"/>
  <c r="AR17" i="2"/>
  <c r="AQ6" i="2"/>
  <c r="AP6" i="2"/>
  <c r="BD13" i="2"/>
  <c r="BF13" i="2"/>
  <c r="S12" i="2"/>
  <c r="R12" i="2"/>
  <c r="T12" i="2"/>
  <c r="AW12" i="2"/>
  <c r="AV12" i="2"/>
  <c r="AX12" i="2"/>
  <c r="AM11" i="2"/>
  <c r="AA7" i="2"/>
  <c r="AA8" i="2"/>
  <c r="BK17" i="2"/>
  <c r="AN19" i="2"/>
  <c r="AF16" i="2"/>
  <c r="AG16" i="2"/>
  <c r="AW8" i="2"/>
  <c r="AV8" i="2"/>
  <c r="AX8" i="2"/>
  <c r="AQ7" i="2"/>
  <c r="AR7" i="2"/>
  <c r="BD19" i="2"/>
  <c r="BF19" i="2"/>
  <c r="BC10" i="2"/>
  <c r="BB10" i="2"/>
  <c r="R19" i="2"/>
  <c r="T19" i="2"/>
  <c r="AY6" i="2"/>
  <c r="T15" i="2"/>
  <c r="Y14" i="2"/>
  <c r="BK12" i="2"/>
  <c r="AS8" i="2"/>
  <c r="AA19" i="2"/>
  <c r="AR6" i="2"/>
  <c r="BK9" i="2"/>
  <c r="BD12" i="2"/>
  <c r="U13" i="2"/>
  <c r="BK6" i="2"/>
  <c r="U6" i="2"/>
  <c r="AA11" i="2"/>
  <c r="AS9" i="2"/>
  <c r="BF14" i="2"/>
  <c r="AY16" i="2"/>
  <c r="AN18" i="2"/>
  <c r="BK8" i="2"/>
  <c r="U8" i="2"/>
  <c r="AA12" i="2"/>
  <c r="AA9" i="2"/>
  <c r="AA6" i="2"/>
  <c r="AN12" i="2"/>
  <c r="AA16" i="2"/>
  <c r="U11" i="2"/>
  <c r="U9" i="2"/>
  <c r="BK13" i="2"/>
  <c r="BK7" i="2"/>
  <c r="AA15" i="2"/>
  <c r="AN10" i="2"/>
  <c r="AH9" i="2"/>
  <c r="AS18" i="2"/>
  <c r="AH14" i="2"/>
  <c r="BE12" i="2"/>
  <c r="BK10" i="2"/>
  <c r="AA17" i="2"/>
  <c r="AY7" i="2"/>
  <c r="BF6" i="2"/>
  <c r="AS14" i="2"/>
  <c r="U17" i="2"/>
  <c r="AH12" i="2"/>
  <c r="AN13" i="2"/>
  <c r="AS15" i="2"/>
  <c r="AY14" i="2"/>
  <c r="AS10" i="2"/>
  <c r="AY9" i="2"/>
  <c r="AY10" i="2"/>
  <c r="AY12" i="2"/>
  <c r="AY13" i="2"/>
  <c r="AY17" i="2"/>
  <c r="AY18" i="2"/>
  <c r="BF9" i="2"/>
  <c r="BD9" i="2"/>
  <c r="BE8" i="2"/>
  <c r="AN7" i="2"/>
  <c r="BF16" i="2"/>
  <c r="BD16" i="2"/>
  <c r="AN14" i="2"/>
  <c r="U16" i="2"/>
  <c r="AS13" i="2"/>
  <c r="AA13" i="2"/>
  <c r="BF18" i="2"/>
  <c r="BD18" i="2"/>
  <c r="BE17" i="2"/>
  <c r="AS6" i="2"/>
  <c r="AA14" i="2"/>
  <c r="BK19" i="2"/>
  <c r="AY11" i="2"/>
  <c r="BE19" i="2"/>
  <c r="U18" i="2"/>
  <c r="BF11" i="2"/>
  <c r="AS16" i="2"/>
  <c r="U10" i="2"/>
  <c r="AA10" i="2"/>
  <c r="BD15" i="2"/>
  <c r="BE14" i="2"/>
  <c r="BF15" i="2"/>
  <c r="BE11" i="2"/>
  <c r="AH15" i="2"/>
  <c r="AH16" i="2"/>
  <c r="AH8" i="2"/>
  <c r="AH7" i="2"/>
  <c r="U15" i="2"/>
  <c r="U14" i="2"/>
  <c r="AN16" i="2"/>
  <c r="AY8" i="2"/>
  <c r="BE13" i="2"/>
  <c r="AS7" i="2"/>
  <c r="BK11" i="2"/>
  <c r="BK14" i="2"/>
  <c r="BF10" i="2"/>
  <c r="BD10" i="2"/>
  <c r="AN17" i="2"/>
  <c r="AH11" i="2"/>
  <c r="U19" i="2"/>
  <c r="U12" i="2"/>
  <c r="AS17" i="2"/>
  <c r="BE18" i="2"/>
  <c r="BE16" i="2"/>
  <c r="BE15" i="2"/>
  <c r="BE9" i="2"/>
  <c r="BE10" i="2"/>
  <c r="G7" i="10"/>
  <c r="H7" i="10"/>
  <c r="G6" i="10"/>
  <c r="H6" i="10"/>
  <c r="G9" i="10"/>
  <c r="H9" i="10"/>
  <c r="G10" i="10"/>
  <c r="H10" i="10"/>
  <c r="L9" i="4"/>
  <c r="B9" i="4"/>
  <c r="F9" i="4"/>
  <c r="H9" i="4"/>
  <c r="D9" i="4"/>
  <c r="E9" i="4"/>
  <c r="C6" i="10"/>
  <c r="G9" i="4"/>
  <c r="C7" i="10"/>
  <c r="D6" i="10"/>
  <c r="C8" i="10"/>
  <c r="G8" i="10"/>
  <c r="H8" i="10"/>
  <c r="D7" i="10"/>
  <c r="D8" i="10"/>
  <c r="C9" i="10"/>
  <c r="C10" i="10"/>
  <c r="D9" i="10"/>
  <c r="D10" i="10"/>
  <c r="C11" i="10"/>
  <c r="G11" i="10"/>
  <c r="H11" i="10"/>
  <c r="D11" i="10"/>
  <c r="C12" i="10"/>
  <c r="D12" i="10"/>
  <c r="C13" i="10"/>
  <c r="D13" i="10"/>
  <c r="C14" i="10"/>
  <c r="G13" i="10"/>
  <c r="H13" i="10"/>
  <c r="C15" i="10"/>
  <c r="D14" i="10"/>
  <c r="C16" i="10"/>
  <c r="D15" i="10"/>
  <c r="C17" i="10"/>
  <c r="D16" i="10"/>
  <c r="D17" i="10"/>
  <c r="C18" i="10"/>
  <c r="D18" i="10"/>
  <c r="C19" i="10"/>
  <c r="D19" i="10"/>
  <c r="C20" i="10"/>
  <c r="D20" i="10"/>
  <c r="C21" i="10"/>
  <c r="D21" i="10"/>
  <c r="C22" i="10"/>
  <c r="D22" i="10"/>
  <c r="C23" i="10"/>
  <c r="C24" i="10"/>
  <c r="D24" i="10"/>
  <c r="D23" i="10"/>
  <c r="G24" i="10"/>
  <c r="H24" i="10"/>
  <c r="BR8" i="2" l="1"/>
  <c r="Z6" i="2" s="1"/>
  <c r="Z7" i="2" l="1"/>
  <c r="Z8" i="2" s="1"/>
  <c r="AB6" i="2" l="1"/>
  <c r="AC6" i="2" s="1"/>
  <c r="AB7" i="2"/>
  <c r="AC7" i="2" s="1"/>
  <c r="Z9" i="2"/>
  <c r="AB8" i="2" l="1"/>
  <c r="AC8" i="2" s="1"/>
  <c r="Z10" i="2"/>
  <c r="BS16" i="2" l="1" a="1"/>
  <c r="BS16" i="2" s="1"/>
  <c r="AB9" i="2"/>
  <c r="AC9" i="2" s="1"/>
  <c r="BS9" i="2" a="1"/>
  <c r="BS9" i="2" s="1"/>
  <c r="BS11" i="2" a="1"/>
  <c r="BS11" i="2" s="1"/>
  <c r="BS13" i="2" a="1"/>
  <c r="BS13" i="2" s="1"/>
  <c r="BS12" i="2" a="1"/>
  <c r="BS12" i="2" s="1"/>
  <c r="BS15" i="2" a="1"/>
  <c r="BS15" i="2" s="1"/>
  <c r="BS14" i="2" a="1"/>
  <c r="BS14" i="2" s="1"/>
  <c r="Z11" i="2"/>
  <c r="AB10" i="2" l="1"/>
  <c r="AC10" i="2" s="1"/>
  <c r="Z12" i="2"/>
  <c r="AB11" i="2" l="1"/>
  <c r="AC11" i="2" s="1"/>
  <c r="Z13" i="2"/>
  <c r="Z14" i="2" l="1"/>
  <c r="AB12" i="2"/>
  <c r="AC12" i="2" s="1"/>
  <c r="Z15" i="2" l="1"/>
  <c r="AB13" i="2"/>
  <c r="AC13" i="2" s="1"/>
  <c r="Z16" i="2" l="1"/>
  <c r="AB14" i="2"/>
  <c r="AC14" i="2" s="1"/>
  <c r="Z17" i="2" l="1"/>
  <c r="AB15" i="2"/>
  <c r="AC15" i="2" s="1"/>
  <c r="Z18" i="2" l="1"/>
  <c r="AB16" i="2"/>
  <c r="AC16" i="2" s="1"/>
  <c r="Z19" i="2" l="1"/>
  <c r="AB17" i="2"/>
  <c r="AC17" i="2" s="1"/>
  <c r="Z20" i="2" l="1"/>
  <c r="AB19" i="2" s="1"/>
  <c r="AC19" i="2" s="1"/>
  <c r="BT15" i="2" s="1"/>
  <c r="BR15" i="2" s="1"/>
  <c r="AB18" i="2"/>
  <c r="AC18" i="2" s="1"/>
  <c r="BT14" i="2" l="1"/>
  <c r="BR14" i="2" s="1"/>
  <c r="BT13" i="2"/>
  <c r="BR13" i="2" s="1"/>
  <c r="BT11" i="2"/>
  <c r="BR11" i="2" s="1"/>
  <c r="BT16" i="2"/>
  <c r="BR16" i="2" s="1"/>
  <c r="BT9" i="2"/>
  <c r="BR9" i="2" s="1"/>
  <c r="BT12" i="2"/>
  <c r="BR12" i="2" s="1"/>
  <c r="BV15" i="2"/>
  <c r="BX15" i="2"/>
  <c r="BW15" i="2"/>
  <c r="BQ15" i="2"/>
  <c r="BP15" i="2"/>
  <c r="BO15" i="2" s="1"/>
  <c r="BP14" i="2" l="1"/>
  <c r="BO14" i="2" s="1"/>
  <c r="BW14" i="2"/>
  <c r="BX14" i="2"/>
  <c r="BQ14" i="2"/>
  <c r="BV14" i="2"/>
  <c r="BV13" i="2"/>
  <c r="BQ13" i="2"/>
  <c r="BW13" i="2"/>
  <c r="BP13" i="2"/>
  <c r="BV11" i="2"/>
  <c r="BX11" i="2"/>
  <c r="BP11" i="2"/>
  <c r="BQ11" i="2"/>
  <c r="BW11" i="2"/>
  <c r="BV16" i="2"/>
  <c r="BW16" i="2"/>
  <c r="BQ16" i="2"/>
  <c r="BP16" i="2"/>
  <c r="BQ9" i="2"/>
  <c r="BW9" i="2"/>
  <c r="BP9" i="2"/>
  <c r="BO9" i="2" s="1"/>
  <c r="BR10" i="2"/>
  <c r="BV9" i="2"/>
  <c r="BQ12" i="2"/>
  <c r="BW12" i="2"/>
  <c r="BX12" i="2"/>
  <c r="BP12" i="2"/>
  <c r="BO12" i="2" s="1"/>
  <c r="BV12" i="2"/>
  <c r="BO11" i="2" l="1"/>
  <c r="K42" i="3"/>
  <c r="U44" i="3"/>
  <c r="U60" i="3"/>
  <c r="U98" i="8"/>
  <c r="K130" i="8"/>
  <c r="AY44" i="3"/>
  <c r="U23" i="8"/>
  <c r="K51" i="3"/>
  <c r="K50" i="3"/>
  <c r="U36" i="8"/>
  <c r="K53" i="8"/>
  <c r="U60" i="8"/>
  <c r="K40" i="8"/>
  <c r="U5" i="3"/>
  <c r="K27" i="3"/>
  <c r="K44" i="8"/>
  <c r="K81" i="8"/>
  <c r="K29" i="8"/>
  <c r="K23" i="3"/>
  <c r="U108" i="8"/>
  <c r="K108" i="8"/>
  <c r="K91" i="8"/>
  <c r="U15" i="3"/>
  <c r="K10" i="8"/>
  <c r="K64" i="8"/>
  <c r="U42" i="3"/>
  <c r="U46" i="3"/>
  <c r="K72" i="8"/>
  <c r="K74" i="8"/>
  <c r="U76" i="3"/>
  <c r="U50" i="3"/>
  <c r="U115" i="8"/>
  <c r="K121" i="8"/>
  <c r="U18" i="8"/>
  <c r="U80" i="3"/>
  <c r="U25" i="3"/>
  <c r="U51" i="8"/>
  <c r="K25" i="3"/>
  <c r="K33" i="8"/>
  <c r="K126" i="8"/>
  <c r="U100" i="8"/>
  <c r="K36" i="3"/>
  <c r="K117" i="8"/>
  <c r="K14" i="8"/>
  <c r="K70" i="8"/>
  <c r="U9" i="3"/>
  <c r="K29" i="3"/>
  <c r="K36" i="8"/>
  <c r="U12" i="8"/>
  <c r="K76" i="8"/>
  <c r="K25" i="8"/>
  <c r="K96" i="8"/>
  <c r="U35" i="3"/>
  <c r="K134" i="8"/>
  <c r="K49" i="8"/>
  <c r="K62" i="3"/>
  <c r="K72" i="3"/>
  <c r="K31" i="3"/>
  <c r="K4" i="3"/>
  <c r="K113" i="8"/>
  <c r="U8" i="8"/>
  <c r="U96" i="8"/>
  <c r="K5" i="8"/>
  <c r="K89" i="3"/>
  <c r="U64" i="8"/>
  <c r="U40" i="3"/>
  <c r="K32" i="3"/>
  <c r="K15" i="8"/>
  <c r="U81" i="3"/>
  <c r="K84" i="8"/>
  <c r="K26" i="3"/>
  <c r="P105" i="8"/>
  <c r="K118" i="8"/>
  <c r="U53" i="3"/>
  <c r="K6" i="8"/>
  <c r="U97" i="8"/>
  <c r="K87" i="3"/>
  <c r="F17" i="8"/>
  <c r="U9" i="8"/>
  <c r="AM87" i="3"/>
  <c r="AM2" i="3" s="1"/>
  <c r="U8" i="3"/>
  <c r="K75" i="8"/>
  <c r="F48" i="8"/>
  <c r="U24" i="3"/>
  <c r="K109" i="8"/>
  <c r="U6" i="3"/>
  <c r="K19" i="8"/>
  <c r="K71" i="8"/>
  <c r="K52" i="8"/>
  <c r="F102" i="8"/>
  <c r="U12" i="3"/>
  <c r="K32" i="8"/>
  <c r="K66" i="8"/>
  <c r="K28" i="3"/>
  <c r="F59" i="3"/>
  <c r="K82" i="8"/>
  <c r="K45" i="8"/>
  <c r="K80" i="8"/>
  <c r="K73" i="3"/>
  <c r="K37" i="3"/>
  <c r="K94" i="8"/>
  <c r="U13" i="8"/>
  <c r="F69" i="8"/>
  <c r="F78" i="8"/>
  <c r="AS4" i="3"/>
  <c r="P69" i="8"/>
  <c r="K104" i="8"/>
  <c r="U83" i="3"/>
  <c r="P95" i="8"/>
  <c r="K13" i="8"/>
  <c r="U57" i="3"/>
  <c r="U114" i="8"/>
  <c r="K99" i="8"/>
  <c r="K63" i="8"/>
  <c r="K133" i="8"/>
  <c r="F71" i="3"/>
  <c r="U18" i="3"/>
  <c r="U54" i="8"/>
  <c r="F22" i="8"/>
  <c r="K129" i="8"/>
  <c r="U59" i="8"/>
  <c r="F41" i="3"/>
  <c r="F57" i="8"/>
  <c r="K88" i="8"/>
  <c r="K5" i="3"/>
  <c r="U73" i="3"/>
  <c r="K86" i="8"/>
  <c r="U36" i="3"/>
  <c r="F112" i="8"/>
  <c r="U26" i="3"/>
  <c r="K30" i="8"/>
  <c r="F4" i="8"/>
  <c r="U71" i="8"/>
  <c r="K63" i="3"/>
  <c r="U52" i="8"/>
  <c r="U118" i="8"/>
  <c r="K60" i="8"/>
  <c r="U34" i="3"/>
  <c r="U79" i="3"/>
  <c r="K58" i="8"/>
  <c r="K39" i="8"/>
  <c r="U75" i="3"/>
  <c r="K73" i="8"/>
  <c r="U43" i="3"/>
  <c r="K107" i="8"/>
  <c r="K30" i="3"/>
  <c r="K35" i="3"/>
  <c r="P78" i="8"/>
  <c r="P71" i="3"/>
  <c r="U85" i="3"/>
  <c r="P102" i="8"/>
  <c r="AM73" i="3"/>
  <c r="P22" i="3"/>
  <c r="K11" i="8"/>
  <c r="K28" i="8"/>
  <c r="K116" i="8"/>
  <c r="K61" i="3"/>
  <c r="K131" i="8"/>
  <c r="U99" i="8"/>
  <c r="K41" i="8"/>
  <c r="U48" i="3"/>
  <c r="P17" i="8"/>
  <c r="K21" i="8"/>
  <c r="P49" i="3"/>
  <c r="P35" i="8"/>
  <c r="K70" i="3"/>
  <c r="U106" i="8"/>
  <c r="U63" i="8"/>
  <c r="F49" i="3"/>
  <c r="F33" i="3"/>
  <c r="U19" i="8"/>
  <c r="F105" i="8"/>
  <c r="K120" i="8"/>
  <c r="U67" i="8"/>
  <c r="F125" i="8"/>
  <c r="P86" i="3"/>
  <c r="P125" i="8"/>
  <c r="F22" i="3"/>
  <c r="K9" i="8"/>
  <c r="K26" i="8"/>
  <c r="K77" i="8"/>
  <c r="K24" i="3"/>
  <c r="U77" i="3"/>
  <c r="K92" i="8"/>
  <c r="K56" i="8"/>
  <c r="U38" i="3"/>
  <c r="K90" i="8"/>
  <c r="P41" i="3"/>
  <c r="P48" i="8"/>
  <c r="P57" i="8"/>
  <c r="U16" i="3"/>
  <c r="K34" i="8"/>
  <c r="K122" i="8"/>
  <c r="U10" i="3"/>
  <c r="U20" i="3"/>
  <c r="U55" i="3"/>
  <c r="U50" i="8"/>
  <c r="U116" i="8"/>
  <c r="K97" i="8"/>
  <c r="F7" i="8"/>
  <c r="K114" i="8"/>
  <c r="U119" i="8"/>
  <c r="K24" i="8"/>
  <c r="K111" i="8"/>
  <c r="U101" i="8"/>
  <c r="P22" i="8"/>
  <c r="P59" i="3"/>
  <c r="U61" i="8"/>
  <c r="K54" i="8"/>
  <c r="K124" i="8"/>
  <c r="F95" i="8"/>
  <c r="P4" i="3"/>
  <c r="U65" i="8"/>
  <c r="K50" i="8"/>
  <c r="K101" i="8"/>
  <c r="U51" i="3"/>
  <c r="K47" i="8"/>
  <c r="K135" i="8"/>
  <c r="U28" i="3"/>
  <c r="K39" i="3"/>
  <c r="U6" i="8"/>
  <c r="K43" i="8"/>
  <c r="P33" i="3"/>
  <c r="P4" i="8"/>
  <c r="U14" i="3"/>
  <c r="P7" i="8"/>
  <c r="F35" i="8"/>
  <c r="U11" i="8"/>
  <c r="K127" i="8"/>
  <c r="U104" i="8"/>
  <c r="K37" i="8"/>
  <c r="U45" i="3"/>
  <c r="U15" i="8"/>
  <c r="AT103" i="8"/>
  <c r="AT70" i="8"/>
  <c r="AT110" i="8"/>
  <c r="AJ85" i="8"/>
  <c r="T110" i="8"/>
  <c r="J40" i="3"/>
  <c r="AK40" i="3"/>
  <c r="AL40" i="3" s="1"/>
  <c r="J20" i="8"/>
  <c r="AW78" i="3"/>
  <c r="AX78" i="3" s="1"/>
  <c r="AW54" i="3"/>
  <c r="AX54" i="3" s="1"/>
  <c r="T54" i="3"/>
  <c r="T84" i="3"/>
  <c r="T103" i="8"/>
  <c r="T56" i="3"/>
  <c r="T70" i="8"/>
  <c r="J85" i="8"/>
  <c r="AW39" i="3"/>
  <c r="AX39" i="3" s="1"/>
  <c r="T21" i="3"/>
  <c r="T5" i="8"/>
  <c r="T39" i="3"/>
  <c r="J87" i="8"/>
  <c r="AK91" i="3"/>
  <c r="AL91" i="3" s="1"/>
  <c r="AW11" i="3"/>
  <c r="AX11" i="3" s="1"/>
  <c r="J91" i="3"/>
  <c r="T19" i="3"/>
  <c r="J68" i="8"/>
  <c r="AT5" i="8"/>
  <c r="AJ87" i="8"/>
  <c r="AJ68" i="8"/>
  <c r="AJ20" i="8"/>
  <c r="BX10" i="2"/>
  <c r="BQ10" i="2"/>
  <c r="BW10" i="2"/>
  <c r="BP10" i="2"/>
  <c r="BO10" i="2" s="1"/>
  <c r="BV10" i="2"/>
  <c r="K20" i="8"/>
  <c r="U5" i="8"/>
  <c r="K87" i="8"/>
  <c r="U19" i="3"/>
  <c r="U103" i="8"/>
  <c r="U21" i="3"/>
  <c r="U56" i="3"/>
  <c r="K40" i="3"/>
  <c r="U54" i="3"/>
  <c r="K85" i="8"/>
  <c r="U39" i="3"/>
  <c r="K68" i="8"/>
  <c r="U84" i="3"/>
  <c r="U70" i="8"/>
  <c r="K91" i="3"/>
  <c r="U110" i="8"/>
  <c r="T27" i="3"/>
  <c r="T13" i="3"/>
  <c r="J132" i="8"/>
  <c r="J93" i="8"/>
  <c r="J61" i="8"/>
  <c r="AW27" i="3"/>
  <c r="AX27" i="3" s="1"/>
  <c r="AT117" i="8"/>
  <c r="AJ98" i="8"/>
  <c r="AJ93" i="8"/>
  <c r="AJ18" i="8"/>
  <c r="J128" i="8"/>
  <c r="T62" i="8"/>
  <c r="J98" i="8"/>
  <c r="T7" i="3"/>
  <c r="AT49" i="8"/>
  <c r="AJ128" i="8"/>
  <c r="AJ106" i="8"/>
  <c r="AJ103" i="8"/>
  <c r="AW5" i="3"/>
  <c r="AX5" i="3" s="1"/>
  <c r="T82" i="3"/>
  <c r="T107" i="8"/>
  <c r="AT107" i="8"/>
  <c r="AT62" i="8"/>
  <c r="AJ132" i="8"/>
  <c r="AJ79" i="8"/>
  <c r="AJ12" i="8"/>
  <c r="J88" i="3"/>
  <c r="AK60" i="3"/>
  <c r="AL60" i="3" s="1"/>
  <c r="AK88" i="3"/>
  <c r="AL88" i="3" s="1"/>
  <c r="J34" i="3"/>
  <c r="AK34" i="3"/>
  <c r="AL34" i="3" s="1"/>
  <c r="J79" i="8"/>
  <c r="J60" i="3"/>
  <c r="AJ61" i="8"/>
  <c r="J103" i="8"/>
  <c r="AW72" i="3"/>
  <c r="AX72" i="3" s="1"/>
  <c r="J12" i="8"/>
  <c r="J18" i="8"/>
  <c r="T49" i="8"/>
  <c r="T33" i="3"/>
  <c r="T72" i="3"/>
  <c r="T117" i="8"/>
  <c r="J106" i="8"/>
  <c r="AW33" i="3"/>
  <c r="AX33" i="3" s="1"/>
  <c r="K18" i="8"/>
  <c r="U7" i="3"/>
  <c r="U13" i="3"/>
  <c r="K103" i="8"/>
  <c r="K88" i="3"/>
  <c r="K79" i="8"/>
  <c r="U33" i="3"/>
  <c r="K34" i="3"/>
  <c r="K61" i="8"/>
  <c r="K98" i="8"/>
  <c r="U107" i="8"/>
  <c r="K93" i="8"/>
  <c r="U117" i="8"/>
  <c r="K106" i="8"/>
  <c r="K128" i="8"/>
  <c r="K132" i="8"/>
  <c r="K12" i="8"/>
  <c r="U62" i="8"/>
  <c r="K60" i="3"/>
  <c r="U49" i="8"/>
  <c r="U27" i="3"/>
  <c r="U82" i="3"/>
  <c r="U72" i="3"/>
  <c r="BO13" i="2"/>
  <c r="BO16" i="2"/>
  <c r="J76" i="8" l="1"/>
  <c r="T42" i="3"/>
  <c r="AW9" i="3"/>
  <c r="AX9" i="3" s="1"/>
  <c r="J134" i="8"/>
  <c r="T9" i="3"/>
  <c r="J81" i="8"/>
  <c r="J44" i="8"/>
  <c r="T8" i="8"/>
  <c r="J29" i="8"/>
  <c r="T96" i="8"/>
  <c r="J72" i="8"/>
  <c r="T25" i="3"/>
  <c r="T108" i="8"/>
  <c r="T64" i="8"/>
  <c r="AW46" i="3"/>
  <c r="AX46" i="3" s="1"/>
  <c r="J14" i="8"/>
  <c r="J36" i="3"/>
  <c r="J33" i="8"/>
  <c r="J5" i="8"/>
  <c r="T115" i="8"/>
  <c r="AW35" i="3"/>
  <c r="AX35" i="3" s="1"/>
  <c r="J25" i="3"/>
  <c r="J126" i="8"/>
  <c r="J64" i="8"/>
  <c r="J49" i="8"/>
  <c r="T18" i="8"/>
  <c r="J62" i="3"/>
  <c r="J29" i="3"/>
  <c r="J40" i="8"/>
  <c r="J23" i="3"/>
  <c r="AK23" i="3"/>
  <c r="AL23" i="3" s="1"/>
  <c r="AK72" i="3"/>
  <c r="AL72" i="3" s="1"/>
  <c r="J96" i="8"/>
  <c r="T46" i="3"/>
  <c r="J70" i="8"/>
  <c r="T76" i="3"/>
  <c r="J27" i="3"/>
  <c r="J31" i="3"/>
  <c r="T35" i="3"/>
  <c r="J74" i="8"/>
  <c r="AK62" i="3"/>
  <c r="AL62" i="3" s="1"/>
  <c r="J72" i="3"/>
  <c r="T80" i="3"/>
  <c r="J4" i="3"/>
  <c r="T15" i="3"/>
  <c r="J36" i="8"/>
  <c r="J108" i="8"/>
  <c r="T50" i="3"/>
  <c r="AW50" i="3"/>
  <c r="AX50" i="3" s="1"/>
  <c r="AJ81" i="8"/>
  <c r="AJ72" i="8"/>
  <c r="AJ53" i="8"/>
  <c r="AJ49" i="8"/>
  <c r="AJ36" i="8"/>
  <c r="AJ10" i="8"/>
  <c r="AK89" i="3"/>
  <c r="AL89" i="3" s="1"/>
  <c r="AK4" i="3"/>
  <c r="AL4" i="3" s="1"/>
  <c r="T100" i="8"/>
  <c r="AT51" i="8"/>
  <c r="AT18" i="8"/>
  <c r="AT8" i="8"/>
  <c r="AJ134" i="8"/>
  <c r="AJ121" i="8"/>
  <c r="AJ113" i="8"/>
  <c r="AJ96" i="8"/>
  <c r="AJ76" i="8"/>
  <c r="AJ64" i="8"/>
  <c r="AJ25" i="8"/>
  <c r="AJ5" i="8"/>
  <c r="J53" i="8"/>
  <c r="J121" i="8"/>
  <c r="T12" i="8"/>
  <c r="AT115" i="8"/>
  <c r="AT108" i="8"/>
  <c r="AT100" i="8"/>
  <c r="AT96" i="8"/>
  <c r="AT64" i="8"/>
  <c r="AT60" i="8"/>
  <c r="AJ126" i="8"/>
  <c r="AJ117" i="8"/>
  <c r="AJ108" i="8"/>
  <c r="AJ91" i="8"/>
  <c r="AJ74" i="8"/>
  <c r="J25" i="8"/>
  <c r="AK36" i="3"/>
  <c r="AL36" i="3" s="1"/>
  <c r="J89" i="3"/>
  <c r="T5" i="3"/>
  <c r="AW42" i="3"/>
  <c r="AX42" i="3" s="1"/>
  <c r="J117" i="8"/>
  <c r="T60" i="8"/>
  <c r="AJ70" i="8"/>
  <c r="AW76" i="3"/>
  <c r="AX76" i="3" s="1"/>
  <c r="J91" i="8"/>
  <c r="J10" i="8"/>
  <c r="J113" i="8"/>
  <c r="AW25" i="3"/>
  <c r="AX25" i="3" s="1"/>
  <c r="T51" i="8"/>
  <c r="AJ23" i="8"/>
  <c r="AJ62" i="8"/>
  <c r="AJ67" i="8"/>
  <c r="AJ89" i="8"/>
  <c r="AJ115" i="8"/>
  <c r="AJ123" i="8"/>
  <c r="AT125" i="8"/>
  <c r="T37" i="3"/>
  <c r="J110" i="8"/>
  <c r="AK90" i="3"/>
  <c r="AL90" i="3" s="1"/>
  <c r="Y22" i="8"/>
  <c r="J38" i="3"/>
  <c r="Y78" i="8"/>
  <c r="Y33" i="3"/>
  <c r="T52" i="3"/>
  <c r="Y71" i="3"/>
  <c r="Y49" i="3"/>
  <c r="T66" i="8"/>
  <c r="J46" i="8"/>
  <c r="J119" i="8"/>
  <c r="J100" i="8"/>
  <c r="AK64" i="3"/>
  <c r="AL64" i="3" s="1"/>
  <c r="T125" i="8"/>
  <c r="J31" i="8"/>
  <c r="Y22" i="3"/>
  <c r="Y41" i="3"/>
  <c r="T11" i="3"/>
  <c r="J83" i="8"/>
  <c r="Y48" i="8"/>
  <c r="T74" i="3"/>
  <c r="J55" i="8"/>
  <c r="Y69" i="8"/>
  <c r="AK38" i="3"/>
  <c r="AL38" i="3" s="1"/>
  <c r="Y59" i="3"/>
  <c r="J123" i="8"/>
  <c r="T23" i="3"/>
  <c r="AW7" i="3"/>
  <c r="AX7" i="3" s="1"/>
  <c r="Y4" i="8"/>
  <c r="T109" i="8"/>
  <c r="J38" i="8"/>
  <c r="Y112" i="8"/>
  <c r="T10" i="8"/>
  <c r="J64" i="3"/>
  <c r="J115" i="8"/>
  <c r="T53" i="8"/>
  <c r="Y86" i="3"/>
  <c r="Y105" i="8"/>
  <c r="Y35" i="8"/>
  <c r="J23" i="8"/>
  <c r="T14" i="8"/>
  <c r="Y125" i="8"/>
  <c r="J59" i="8"/>
  <c r="J62" i="8"/>
  <c r="J67" i="8"/>
  <c r="J65" i="8"/>
  <c r="J42" i="8"/>
  <c r="T113" i="8"/>
  <c r="AW37" i="3"/>
  <c r="AX37" i="3" s="1"/>
  <c r="T58" i="8"/>
  <c r="E4" i="3"/>
  <c r="Y17" i="8"/>
  <c r="AW52" i="3"/>
  <c r="AX52" i="3" s="1"/>
  <c r="Y95" i="8"/>
  <c r="Y7" i="8"/>
  <c r="J27" i="8"/>
  <c r="J90" i="3"/>
  <c r="J51" i="8"/>
  <c r="AW74" i="3"/>
  <c r="AX74" i="3" s="1"/>
  <c r="T17" i="3"/>
  <c r="Y102" i="8"/>
  <c r="J89" i="8"/>
  <c r="T78" i="3"/>
  <c r="Y4" i="3"/>
  <c r="Y57" i="8"/>
  <c r="AJ65" i="8"/>
  <c r="AT109" i="8"/>
  <c r="J16" i="8"/>
  <c r="AJ8" i="8"/>
  <c r="AJ38" i="8"/>
  <c r="AJ51" i="8"/>
  <c r="AJ59" i="8"/>
  <c r="AJ100" i="8"/>
  <c r="AJ110" i="8"/>
  <c r="AT53" i="8"/>
  <c r="AT58" i="8"/>
  <c r="AT66" i="8"/>
  <c r="J8" i="8"/>
  <c r="AJ55" i="8"/>
  <c r="AJ83" i="8"/>
  <c r="AJ119" i="8"/>
  <c r="AT10" i="8"/>
  <c r="AT113" i="8"/>
  <c r="U11" i="3"/>
  <c r="K100" i="8"/>
  <c r="K8" i="8"/>
  <c r="K90" i="3"/>
  <c r="K38" i="8"/>
  <c r="K16" i="8"/>
  <c r="U66" i="8"/>
  <c r="K46" i="8"/>
  <c r="U10" i="8"/>
  <c r="U37" i="3"/>
  <c r="K123" i="8"/>
  <c r="K67" i="8"/>
  <c r="K65" i="8"/>
  <c r="K42" i="8"/>
  <c r="U23" i="3"/>
  <c r="U14" i="8"/>
  <c r="U52" i="3"/>
  <c r="K83" i="8"/>
  <c r="U17" i="3"/>
  <c r="K23" i="8"/>
  <c r="U74" i="3"/>
  <c r="U109" i="8"/>
  <c r="U113" i="8"/>
  <c r="K27" i="8"/>
  <c r="Z105" i="8"/>
  <c r="K89" i="8"/>
  <c r="K51" i="8"/>
  <c r="K119" i="8"/>
  <c r="K115" i="8"/>
  <c r="U58" i="8"/>
  <c r="K55" i="8"/>
  <c r="U78" i="3"/>
  <c r="K31" i="8"/>
  <c r="U53" i="8"/>
  <c r="K38" i="3"/>
  <c r="K64" i="3"/>
  <c r="K62" i="8"/>
  <c r="K59" i="8"/>
  <c r="K110" i="8"/>
  <c r="J42" i="3"/>
  <c r="T79" i="8"/>
  <c r="AW44" i="3"/>
  <c r="AX44" i="3" s="1"/>
  <c r="T98" i="8"/>
  <c r="T60" i="3"/>
  <c r="J50" i="3"/>
  <c r="J51" i="3"/>
  <c r="AT98" i="8"/>
  <c r="T44" i="3"/>
  <c r="AJ130" i="8"/>
  <c r="T23" i="8"/>
  <c r="J130" i="8"/>
  <c r="T36" i="8"/>
  <c r="AW28" i="3"/>
  <c r="AX28" i="3" s="1"/>
  <c r="T114" i="8"/>
  <c r="E102" i="8"/>
  <c r="AW38" i="3"/>
  <c r="AX38" i="3" s="1"/>
  <c r="J6" i="8"/>
  <c r="T18" i="3"/>
  <c r="T101" i="8"/>
  <c r="J87" i="3"/>
  <c r="J127" i="8"/>
  <c r="AW26" i="3"/>
  <c r="AX26" i="3" s="1"/>
  <c r="AQ4" i="3"/>
  <c r="AR4" i="3" s="1"/>
  <c r="E57" i="8"/>
  <c r="AK87" i="3"/>
  <c r="AL87" i="3" s="1"/>
  <c r="J11" i="8"/>
  <c r="E78" i="8"/>
  <c r="T86" i="3"/>
  <c r="T34" i="3"/>
  <c r="E35" i="8"/>
  <c r="T119" i="8"/>
  <c r="J41" i="8"/>
  <c r="J77" i="8"/>
  <c r="AK37" i="3"/>
  <c r="AL37" i="3" s="1"/>
  <c r="J56" i="8"/>
  <c r="T15" i="8"/>
  <c r="AK5" i="3"/>
  <c r="AL5" i="3" s="1"/>
  <c r="AW24" i="3"/>
  <c r="AX24" i="3" s="1"/>
  <c r="O22" i="3"/>
  <c r="T50" i="8"/>
  <c r="AW77" i="3"/>
  <c r="AX77" i="3" s="1"/>
  <c r="J114" i="8"/>
  <c r="J111" i="8"/>
  <c r="J63" i="3"/>
  <c r="O41" i="3"/>
  <c r="O4" i="3"/>
  <c r="J21" i="8"/>
  <c r="T118" i="8"/>
  <c r="T43" i="3"/>
  <c r="J39" i="3"/>
  <c r="T24" i="3"/>
  <c r="T9" i="8"/>
  <c r="T20" i="3"/>
  <c r="O59" i="3"/>
  <c r="T75" i="3"/>
  <c r="J34" i="8"/>
  <c r="J26" i="3"/>
  <c r="J5" i="3"/>
  <c r="AW55" i="3"/>
  <c r="AX55" i="3" s="1"/>
  <c r="J24" i="3"/>
  <c r="J120" i="8"/>
  <c r="T80" i="8"/>
  <c r="E86" i="3"/>
  <c r="T61" i="8"/>
  <c r="T48" i="3"/>
  <c r="O57" i="8"/>
  <c r="J13" i="8"/>
  <c r="T83" i="3"/>
  <c r="O95" i="8"/>
  <c r="E7" i="8"/>
  <c r="T53" i="3"/>
  <c r="J54" i="8"/>
  <c r="E105" i="8"/>
  <c r="T99" i="8"/>
  <c r="J28" i="8"/>
  <c r="J45" i="8"/>
  <c r="J9" i="8"/>
  <c r="T77" i="3"/>
  <c r="J101" i="8"/>
  <c r="T28" i="3"/>
  <c r="AK63" i="3"/>
  <c r="AL63" i="3" s="1"/>
  <c r="J88" i="8"/>
  <c r="E59" i="3"/>
  <c r="J109" i="8"/>
  <c r="AK35" i="3"/>
  <c r="AL35" i="3" s="1"/>
  <c r="E49" i="3"/>
  <c r="T19" i="8"/>
  <c r="J92" i="8"/>
  <c r="E22" i="3"/>
  <c r="O33" i="3"/>
  <c r="O125" i="8"/>
  <c r="T85" i="3"/>
  <c r="AW36" i="3"/>
  <c r="AX36" i="3" s="1"/>
  <c r="AW86" i="3"/>
  <c r="AX86" i="3" s="1"/>
  <c r="AW43" i="3"/>
  <c r="AX43" i="3" s="1"/>
  <c r="AW10" i="3"/>
  <c r="AX10" i="3" s="1"/>
  <c r="T55" i="3"/>
  <c r="J58" i="8"/>
  <c r="T11" i="8"/>
  <c r="J107" i="8"/>
  <c r="J37" i="3"/>
  <c r="T73" i="3"/>
  <c r="J94" i="8"/>
  <c r="J52" i="8"/>
  <c r="T51" i="3"/>
  <c r="AT116" i="8"/>
  <c r="AT118" i="8"/>
  <c r="AT114" i="8"/>
  <c r="AJ133" i="8"/>
  <c r="AJ118" i="8"/>
  <c r="AJ111" i="8"/>
  <c r="AJ107" i="8"/>
  <c r="AJ101" i="8"/>
  <c r="AJ86" i="8"/>
  <c r="AJ77" i="8"/>
  <c r="AJ58" i="8"/>
  <c r="AE112" i="8"/>
  <c r="AE78" i="8"/>
  <c r="AE35" i="8"/>
  <c r="AE4" i="8"/>
  <c r="AW53" i="3"/>
  <c r="AX53" i="3" s="1"/>
  <c r="O112" i="8"/>
  <c r="T14" i="3"/>
  <c r="T116" i="8"/>
  <c r="T71" i="8"/>
  <c r="J70" i="3"/>
  <c r="J90" i="8"/>
  <c r="J19" i="8"/>
  <c r="J43" i="8"/>
  <c r="J82" i="8"/>
  <c r="AW45" i="3"/>
  <c r="AX45" i="3" s="1"/>
  <c r="J133" i="8"/>
  <c r="E48" i="8"/>
  <c r="E22" i="8"/>
  <c r="J104" i="8"/>
  <c r="O86" i="3"/>
  <c r="O78" i="8"/>
  <c r="J50" i="8"/>
  <c r="AT61" i="8"/>
  <c r="AT54" i="8"/>
  <c r="AO125" i="8"/>
  <c r="AO105" i="8"/>
  <c r="AO95" i="8"/>
  <c r="AO69" i="8"/>
  <c r="AO48" i="8"/>
  <c r="AO22" i="8"/>
  <c r="AO7" i="8"/>
  <c r="AJ131" i="8"/>
  <c r="AJ124" i="8"/>
  <c r="AJ116" i="8"/>
  <c r="AJ109" i="8"/>
  <c r="AJ99" i="8"/>
  <c r="AJ92" i="8"/>
  <c r="AJ90" i="8"/>
  <c r="AJ80" i="8"/>
  <c r="AJ73" i="8"/>
  <c r="AJ60" i="8"/>
  <c r="AJ52" i="8"/>
  <c r="AJ39" i="8"/>
  <c r="AJ13" i="8"/>
  <c r="AJ9" i="8"/>
  <c r="AE105" i="8"/>
  <c r="AE69" i="8"/>
  <c r="AE22" i="8"/>
  <c r="T59" i="8"/>
  <c r="J47" i="8"/>
  <c r="T26" i="3"/>
  <c r="AW73" i="3"/>
  <c r="AX73" i="3" s="1"/>
  <c r="T57" i="3"/>
  <c r="E17" i="8"/>
  <c r="O105" i="8"/>
  <c r="J97" i="8"/>
  <c r="O49" i="3"/>
  <c r="J60" i="8"/>
  <c r="J116" i="8"/>
  <c r="T45" i="3"/>
  <c r="J80" i="8"/>
  <c r="T63" i="8"/>
  <c r="E33" i="3"/>
  <c r="J73" i="3"/>
  <c r="T81" i="3"/>
  <c r="T6" i="3"/>
  <c r="J66" i="8"/>
  <c r="AT106" i="8"/>
  <c r="AT104" i="8"/>
  <c r="AT101" i="8"/>
  <c r="AT99" i="8"/>
  <c r="AT97" i="8"/>
  <c r="AT71" i="8"/>
  <c r="AT67" i="8"/>
  <c r="AT65" i="8"/>
  <c r="AT63" i="8"/>
  <c r="AT59" i="8"/>
  <c r="AT52" i="8"/>
  <c r="AT50" i="8"/>
  <c r="AT19" i="8"/>
  <c r="AT11" i="8"/>
  <c r="AT9" i="8"/>
  <c r="AT6" i="8"/>
  <c r="AO112" i="8"/>
  <c r="AO102" i="8"/>
  <c r="AO78" i="8"/>
  <c r="AO57" i="8"/>
  <c r="AO35" i="8"/>
  <c r="AO17" i="8"/>
  <c r="AJ135" i="8"/>
  <c r="AJ129" i="8"/>
  <c r="AJ127" i="8"/>
  <c r="AJ122" i="8"/>
  <c r="AJ120" i="8"/>
  <c r="AJ114" i="8"/>
  <c r="AJ104" i="8"/>
  <c r="AJ97" i="8"/>
  <c r="AJ94" i="8"/>
  <c r="AJ88" i="8"/>
  <c r="AJ84" i="8"/>
  <c r="AJ82" i="8"/>
  <c r="AJ71" i="8"/>
  <c r="AJ66" i="8"/>
  <c r="AJ63" i="8"/>
  <c r="AJ54" i="8"/>
  <c r="AJ26" i="8"/>
  <c r="AJ21" i="8"/>
  <c r="AO4" i="8"/>
  <c r="AE102" i="8"/>
  <c r="AE57" i="8"/>
  <c r="AE17" i="8"/>
  <c r="AW12" i="3"/>
  <c r="AX12" i="3" s="1"/>
  <c r="T79" i="3"/>
  <c r="E41" i="3"/>
  <c r="AW79" i="3"/>
  <c r="AX79" i="3" s="1"/>
  <c r="T54" i="8"/>
  <c r="AT82" i="8"/>
  <c r="AJ75" i="8"/>
  <c r="AJ56" i="8"/>
  <c r="AJ50" i="8"/>
  <c r="AJ37" i="8"/>
  <c r="AJ24" i="8"/>
  <c r="AJ19" i="8"/>
  <c r="AJ11" i="8"/>
  <c r="AJ6" i="8"/>
  <c r="AE125" i="8"/>
  <c r="AE95" i="8"/>
  <c r="AE48" i="8"/>
  <c r="AE7" i="8"/>
  <c r="T38" i="3"/>
  <c r="T104" i="8"/>
  <c r="O4" i="8"/>
  <c r="T67" i="8"/>
  <c r="J124" i="8"/>
  <c r="O48" i="8"/>
  <c r="O102" i="8"/>
  <c r="AK24" i="3"/>
  <c r="AL24" i="3" s="1"/>
  <c r="J135" i="8"/>
  <c r="T6" i="8"/>
  <c r="J37" i="8"/>
  <c r="J35" i="3"/>
  <c r="J99" i="8"/>
  <c r="O22" i="8"/>
  <c r="AK65" i="3"/>
  <c r="AL65" i="3" s="1"/>
  <c r="J84" i="8"/>
  <c r="J131" i="8"/>
  <c r="E4" i="8"/>
  <c r="J86" i="8"/>
  <c r="T10" i="3"/>
  <c r="E95" i="8"/>
  <c r="AW6" i="3"/>
  <c r="AX6" i="3" s="1"/>
  <c r="T52" i="8"/>
  <c r="O17" i="8"/>
  <c r="J118" i="8"/>
  <c r="AK39" i="3"/>
  <c r="AL39" i="3" s="1"/>
  <c r="J122" i="8"/>
  <c r="AW34" i="3"/>
  <c r="AX34" i="3" s="1"/>
  <c r="J24" i="8"/>
  <c r="AW75" i="3"/>
  <c r="AX75" i="3" s="1"/>
  <c r="T16" i="3"/>
  <c r="J75" i="8"/>
  <c r="AW47" i="3"/>
  <c r="AX47" i="3" s="1"/>
  <c r="J61" i="3"/>
  <c r="O71" i="3"/>
  <c r="E69" i="8"/>
  <c r="AW51" i="3"/>
  <c r="AX51" i="3" s="1"/>
  <c r="AK61" i="3"/>
  <c r="AL61" i="3" s="1"/>
  <c r="J129" i="8"/>
  <c r="E125" i="8"/>
  <c r="J26" i="8"/>
  <c r="T12" i="3"/>
  <c r="J32" i="8"/>
  <c r="J39" i="8"/>
  <c r="AW40" i="3"/>
  <c r="AX40" i="3" s="1"/>
  <c r="O69" i="8"/>
  <c r="T97" i="8"/>
  <c r="T13" i="8"/>
  <c r="O35" i="8"/>
  <c r="J15" i="8"/>
  <c r="AE4" i="3"/>
  <c r="AF4" i="3" s="1"/>
  <c r="T40" i="3"/>
  <c r="AW8" i="3"/>
  <c r="AX8" i="3" s="1"/>
  <c r="T36" i="3"/>
  <c r="E71" i="3"/>
  <c r="T8" i="3"/>
  <c r="J30" i="8"/>
  <c r="O7" i="8"/>
  <c r="J32" i="3"/>
  <c r="J71" i="8"/>
  <c r="J30" i="3"/>
  <c r="T65" i="8"/>
  <c r="E112" i="8"/>
  <c r="AK73" i="3"/>
  <c r="AL73" i="3" s="1"/>
  <c r="T106" i="8"/>
  <c r="J28" i="3"/>
  <c r="J63" i="8"/>
  <c r="J7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Jeongbin Kim</author>
  </authors>
  <commentList>
    <comment ref="I3" authorId="0" shapeId="0" xr:uid="{640F013C-8520-4141-9283-DE1F29254743}">
      <text>
        <r>
          <rPr>
            <b/>
            <sz val="9"/>
            <color indexed="81"/>
            <rFont val="Tahoma"/>
            <family val="2"/>
          </rPr>
          <t>Jeongbin Kim:</t>
        </r>
        <r>
          <rPr>
            <sz val="9"/>
            <color indexed="81"/>
            <rFont val="Tahoma"/>
            <family val="2"/>
          </rPr>
          <t xml:space="preserve">
Virtual in *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Jeongbin Kim</author>
  </authors>
  <commentList>
    <comment ref="BX29" authorId="0" shapeId="0" xr:uid="{10BC1878-D196-4662-9C5A-F884D8CADC92}">
      <text>
        <r>
          <rPr>
            <b/>
            <sz val="9"/>
            <color indexed="81"/>
            <rFont val="Tahoma"/>
            <charset val="1"/>
          </rPr>
          <t>Jeongbin Kim:</t>
        </r>
        <r>
          <rPr>
            <sz val="9"/>
            <color indexed="81"/>
            <rFont val="Tahoma"/>
            <charset val="1"/>
          </rPr>
          <t xml:space="preserve">
Mile pace를 잘못 이해해서 58분으로 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Jeongbin Kim</author>
  </authors>
  <commentList>
    <comment ref="H59" authorId="0" shapeId="0" xr:uid="{70CFA3D4-2B4F-411B-BFC2-B066E73A2A13}">
      <text>
        <r>
          <rPr>
            <b/>
            <sz val="9"/>
            <color indexed="81"/>
            <rFont val="Tahoma"/>
            <charset val="1"/>
          </rPr>
          <t>Jeongbin Kim:</t>
        </r>
        <r>
          <rPr>
            <sz val="9"/>
            <color indexed="81"/>
            <rFont val="Tahoma"/>
            <charset val="1"/>
          </rPr>
          <t xml:space="preserve">
hills
</t>
        </r>
      </text>
    </comment>
    <comment ref="AI59" authorId="0" shapeId="0" xr:uid="{7D25D233-976C-41D7-871B-C5D4EAF32EAB}">
      <text>
        <r>
          <rPr>
            <b/>
            <sz val="9"/>
            <color indexed="81"/>
            <rFont val="Tahoma"/>
            <charset val="1"/>
          </rPr>
          <t>Jeongbin Kim:</t>
        </r>
        <r>
          <rPr>
            <sz val="9"/>
            <color indexed="81"/>
            <rFont val="Tahoma"/>
            <charset val="1"/>
          </rPr>
          <t xml:space="preserve">
hills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Jeongbin Kim</author>
  </authors>
  <commentList>
    <comment ref="S36" authorId="0" shapeId="0" xr:uid="{A0F64750-6439-4347-9160-99FB1221CB63}">
      <text>
        <r>
          <rPr>
            <b/>
            <sz val="9"/>
            <color indexed="81"/>
            <rFont val="Tahoma"/>
            <family val="2"/>
          </rPr>
          <t>Jeongbin Kim:</t>
        </r>
        <r>
          <rPr>
            <sz val="9"/>
            <color indexed="81"/>
            <rFont val="Tahoma"/>
            <family val="2"/>
          </rPr>
          <t xml:space="preserve">
Progression tempo run
</t>
        </r>
      </text>
    </comment>
    <comment ref="AS36" authorId="0" shapeId="0" xr:uid="{61541270-D155-4F47-838A-202C7EDE8AAC}">
      <text>
        <r>
          <rPr>
            <b/>
            <sz val="9"/>
            <color indexed="81"/>
            <rFont val="Tahoma"/>
            <family val="2"/>
          </rPr>
          <t>Jeongbin Kim:</t>
        </r>
        <r>
          <rPr>
            <sz val="9"/>
            <color indexed="81"/>
            <rFont val="Tahoma"/>
            <family val="2"/>
          </rPr>
          <t xml:space="preserve">
Progression tempo run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<sst xmlns="http://schemas.openxmlformats.org/spreadsheetml/2006/main" count="4179" uniqueCount="745">
  <si>
    <t>5k best/avg mile pace</t>
  </si>
  <si>
    <t>10k best/ avg mile pace</t>
  </si>
  <si>
    <t>tempo avg mile pace</t>
  </si>
  <si>
    <t>half marathon best/avg mile pace</t>
  </si>
  <si>
    <t>marathon best/
avg mile pace</t>
  </si>
  <si>
    <t>recovery day pace</t>
  </si>
  <si>
    <t>5:00</t>
  </si>
  <si>
    <t>17:05/5:30</t>
  </si>
  <si>
    <t>35:45/5:45</t>
  </si>
  <si>
    <t>6:05</t>
  </si>
  <si>
    <t>1:18:00/6:00</t>
  </si>
  <si>
    <t>2:44:00/ 6:15</t>
  </si>
  <si>
    <t>7:00</t>
  </si>
  <si>
    <t>5:30</t>
  </si>
  <si>
    <t>18:45/6:00</t>
  </si>
  <si>
    <t>39:00/6:15</t>
  </si>
  <si>
    <t>6:35</t>
  </si>
  <si>
    <t>1:25:00/6:30</t>
  </si>
  <si>
    <t>7:35</t>
  </si>
  <si>
    <t>6:00</t>
  </si>
  <si>
    <t>20:15/6:30</t>
  </si>
  <si>
    <t>42:00/6:45</t>
  </si>
  <si>
    <t>7:05</t>
  </si>
  <si>
    <t>1:35:00/7:15</t>
  </si>
  <si>
    <t>3:15:00/7:25</t>
  </si>
  <si>
    <t>8:10</t>
  </si>
  <si>
    <t>6:30</t>
  </si>
  <si>
    <t>22:00/7:05</t>
  </si>
  <si>
    <t>45:45/7:20</t>
  </si>
  <si>
    <t>7:40</t>
  </si>
  <si>
    <t>1:40:00/7:35</t>
  </si>
  <si>
    <t>3:30:00/8:00</t>
  </si>
  <si>
    <t>8:45</t>
  </si>
  <si>
    <t>23:45/7:40</t>
  </si>
  <si>
    <t>49:00/7:55</t>
  </si>
  <si>
    <t>8:15</t>
  </si>
  <si>
    <t>1:50:00/8:20</t>
  </si>
  <si>
    <t>3:45:00/8:35</t>
  </si>
  <si>
    <t>9:20</t>
  </si>
  <si>
    <t>7:30</t>
  </si>
  <si>
    <t>25:15/8:05</t>
  </si>
  <si>
    <t>52:30/8:25</t>
  </si>
  <si>
    <t>8:50</t>
  </si>
  <si>
    <t>1:55:00/8:45</t>
  </si>
  <si>
    <t>4:00:00/9:10</t>
  </si>
  <si>
    <t>9:55</t>
  </si>
  <si>
    <t>8:00</t>
  </si>
  <si>
    <t>27:00/8:40</t>
  </si>
  <si>
    <t>55:50/9:00</t>
  </si>
  <si>
    <t>9:25</t>
  </si>
  <si>
    <t>2:05:00/9:30</t>
  </si>
  <si>
    <t>4:15:00/9:45</t>
  </si>
  <si>
    <t>10:30</t>
  </si>
  <si>
    <t>8:30</t>
  </si>
  <si>
    <t>28:30/9:10</t>
  </si>
  <si>
    <t>59:00/9:30</t>
  </si>
  <si>
    <t>2:10:00/9:55</t>
  </si>
  <si>
    <t>4:30:00/10:15</t>
  </si>
  <si>
    <t>11:00</t>
  </si>
  <si>
    <t>9:00</t>
  </si>
  <si>
    <t>30:00/9:40</t>
  </si>
  <si>
    <t>62:30/10:00</t>
  </si>
  <si>
    <t>2:20:00/10:40</t>
  </si>
  <si>
    <t>4:45:00/10:50</t>
  </si>
  <si>
    <t>11:35</t>
  </si>
  <si>
    <t>9:30</t>
  </si>
  <si>
    <t>31:45/10:15</t>
  </si>
  <si>
    <t>66:00/10:35</t>
  </si>
  <si>
    <t>2:25:00/11:05</t>
  </si>
  <si>
    <t>5:00:00/11:25</t>
  </si>
  <si>
    <t>12:10</t>
  </si>
  <si>
    <t>10:00</t>
  </si>
  <si>
    <t>33:00/10:40</t>
  </si>
  <si>
    <t>69:00/11:05</t>
  </si>
  <si>
    <t>2:35:00/11:45</t>
  </si>
  <si>
    <t>5:15:00/12:00</t>
  </si>
  <si>
    <t>12:45</t>
  </si>
  <si>
    <t>35:00/11:15</t>
  </si>
  <si>
    <t>72:00/11:35</t>
  </si>
  <si>
    <t>12:00</t>
  </si>
  <si>
    <t>2:40:00/12:10</t>
  </si>
  <si>
    <t>5:30:00/12:35</t>
  </si>
  <si>
    <t>13:20</t>
  </si>
  <si>
    <t>36:15/11:40</t>
  </si>
  <si>
    <t>75:00/12:00</t>
  </si>
  <si>
    <t>12:35</t>
  </si>
  <si>
    <t>2:50:00/12:55</t>
  </si>
  <si>
    <t>5:40:00/13:00</t>
  </si>
  <si>
    <t>13:45</t>
  </si>
  <si>
    <t>11:30</t>
  </si>
  <si>
    <t>38:00/12:15</t>
  </si>
  <si>
    <t>78:30/12:35</t>
  </si>
  <si>
    <t>13:00</t>
  </si>
  <si>
    <t>2:55:00/13:15</t>
  </si>
  <si>
    <t>5:50:00/13:20</t>
  </si>
  <si>
    <t>14:05</t>
  </si>
  <si>
    <t>39:30/12:40</t>
  </si>
  <si>
    <t>81:30/13:05</t>
  </si>
  <si>
    <t>13:35</t>
  </si>
  <si>
    <t>3:05:00/14:05</t>
  </si>
  <si>
    <t>6:00:00/13:45</t>
  </si>
  <si>
    <t>14:30</t>
  </si>
  <si>
    <t>Mile best</t>
  </si>
  <si>
    <t>mile to km</t>
  </si>
  <si>
    <t>17:05</t>
  </si>
  <si>
    <t>18:45</t>
  </si>
  <si>
    <t>20:15</t>
  </si>
  <si>
    <t>22:00</t>
  </si>
  <si>
    <t>23:45</t>
  </si>
  <si>
    <t>25:15</t>
  </si>
  <si>
    <t>27:00</t>
  </si>
  <si>
    <t>28:30</t>
  </si>
  <si>
    <t>30:00</t>
  </si>
  <si>
    <t>31:45</t>
  </si>
  <si>
    <t>33:00</t>
  </si>
  <si>
    <t>35:00</t>
  </si>
  <si>
    <t>36:15</t>
  </si>
  <si>
    <t>38:00</t>
  </si>
  <si>
    <t>39:30</t>
  </si>
  <si>
    <t>8:05</t>
  </si>
  <si>
    <t>8:40</t>
  </si>
  <si>
    <t>9:10</t>
  </si>
  <si>
    <t>9:40</t>
  </si>
  <si>
    <t>10:15</t>
  </si>
  <si>
    <t>10:40</t>
  </si>
  <si>
    <t>11:15</t>
  </si>
  <si>
    <t>11:40</t>
  </si>
  <si>
    <t>12:15</t>
  </si>
  <si>
    <t>12:40</t>
  </si>
  <si>
    <t>35:45</t>
  </si>
  <si>
    <t>39:00</t>
  </si>
  <si>
    <t>42:00</t>
  </si>
  <si>
    <t>45:45</t>
  </si>
  <si>
    <t>49:00</t>
  </si>
  <si>
    <t>52:30</t>
  </si>
  <si>
    <t>55:50</t>
  </si>
  <si>
    <t>59:00</t>
  </si>
  <si>
    <t>62:30</t>
  </si>
  <si>
    <t>66:00</t>
  </si>
  <si>
    <t>69:00</t>
  </si>
  <si>
    <t>72:00</t>
  </si>
  <si>
    <t>75:00</t>
  </si>
  <si>
    <t>78:30</t>
  </si>
  <si>
    <t>81:30</t>
  </si>
  <si>
    <t>5:45</t>
  </si>
  <si>
    <t>6:15</t>
  </si>
  <si>
    <t>6:45</t>
  </si>
  <si>
    <t>7:20</t>
  </si>
  <si>
    <t>7:55</t>
  </si>
  <si>
    <t>8:25</t>
  </si>
  <si>
    <t>10:35</t>
  </si>
  <si>
    <t>11:05</t>
  </si>
  <si>
    <t>13:05</t>
  </si>
  <si>
    <t>1:18:00</t>
  </si>
  <si>
    <t>1:25:00</t>
  </si>
  <si>
    <t>1:35:00</t>
  </si>
  <si>
    <t>1:40:00</t>
  </si>
  <si>
    <t>1:50:00</t>
  </si>
  <si>
    <t>1:55:00</t>
  </si>
  <si>
    <t>2:05:00</t>
  </si>
  <si>
    <t>2:10:00</t>
  </si>
  <si>
    <t>2:20:00</t>
  </si>
  <si>
    <t>2:25:00</t>
  </si>
  <si>
    <t>2:35:00</t>
  </si>
  <si>
    <t>2:40:00</t>
  </si>
  <si>
    <t>2:50:00</t>
  </si>
  <si>
    <t>2:55:00</t>
  </si>
  <si>
    <t>3:05:00</t>
  </si>
  <si>
    <t>7:15</t>
  </si>
  <si>
    <t>8:20</t>
  </si>
  <si>
    <t>11:45</t>
  </si>
  <si>
    <t>12:55</t>
  </si>
  <si>
    <t>13:15</t>
  </si>
  <si>
    <t>2:44:00</t>
  </si>
  <si>
    <t>3:15:00</t>
  </si>
  <si>
    <t>3:30:00</t>
  </si>
  <si>
    <t>3:45:00</t>
  </si>
  <si>
    <t>4:00:00</t>
  </si>
  <si>
    <t>4:15:00</t>
  </si>
  <si>
    <t>4:30:00</t>
  </si>
  <si>
    <t>4:45:00</t>
  </si>
  <si>
    <t>5:00:00</t>
  </si>
  <si>
    <t>5:15:00</t>
  </si>
  <si>
    <t>5:30:00</t>
  </si>
  <si>
    <t>5:40:00</t>
  </si>
  <si>
    <t>5:50:00</t>
  </si>
  <si>
    <t>6:00:00</t>
  </si>
  <si>
    <t>3:00:00</t>
  </si>
  <si>
    <t>3:00:00/6:50</t>
  </si>
  <si>
    <t>6:50</t>
  </si>
  <si>
    <t>7:25</t>
  </si>
  <si>
    <t>8:35</t>
  </si>
  <si>
    <t>9:45</t>
  </si>
  <si>
    <t>10:50</t>
  </si>
  <si>
    <t>11:25</t>
  </si>
  <si>
    <t>5k</t>
  </si>
  <si>
    <t>Total</t>
  </si>
  <si>
    <t>Avg.</t>
  </si>
  <si>
    <t>10k</t>
  </si>
  <si>
    <t>Half</t>
  </si>
  <si>
    <t>Full</t>
  </si>
  <si>
    <t>Recovery</t>
  </si>
  <si>
    <t>Tempo</t>
  </si>
  <si>
    <t>Best</t>
  </si>
  <si>
    <t>W-8</t>
  </si>
  <si>
    <t>Speed</t>
  </si>
  <si>
    <t>Long</t>
  </si>
  <si>
    <t>Input</t>
  </si>
  <si>
    <t>5k total</t>
  </si>
  <si>
    <t>Output</t>
  </si>
  <si>
    <t>5k avg.</t>
  </si>
  <si>
    <t>10k avg.</t>
  </si>
  <si>
    <t>Half avg.</t>
  </si>
  <si>
    <t>Full avg.</t>
  </si>
  <si>
    <t>Min</t>
  </si>
  <si>
    <t>Seconds</t>
  </si>
  <si>
    <t>Diff</t>
  </si>
  <si>
    <t>Category</t>
  </si>
  <si>
    <t>Run</t>
  </si>
  <si>
    <t>Pace</t>
  </si>
  <si>
    <t>Sec</t>
  </si>
  <si>
    <t>Total sec</t>
  </si>
  <si>
    <t>Distance</t>
  </si>
  <si>
    <t>-</t>
  </si>
  <si>
    <t>Laps</t>
  </si>
  <si>
    <t>01:00</t>
  </si>
  <si>
    <t>25:00</t>
  </si>
  <si>
    <t>05:00</t>
  </si>
  <si>
    <t>02:00</t>
  </si>
  <si>
    <t>00:45</t>
  </si>
  <si>
    <t>00:30</t>
  </si>
  <si>
    <t>00:15</t>
  </si>
  <si>
    <t>W-7</t>
  </si>
  <si>
    <t>15:00</t>
  </si>
  <si>
    <t>06:00</t>
  </si>
  <si>
    <t>03:00</t>
  </si>
  <si>
    <t>01:30</t>
  </si>
  <si>
    <t>09:30</t>
  </si>
  <si>
    <t>W-6</t>
  </si>
  <si>
    <t>03:30</t>
  </si>
  <si>
    <t>02:30</t>
  </si>
  <si>
    <t>Mile</t>
  </si>
  <si>
    <t>W-5</t>
  </si>
  <si>
    <t>40:00</t>
  </si>
  <si>
    <t>07:00</t>
  </si>
  <si>
    <t>W-4</t>
  </si>
  <si>
    <t>3 sets</t>
  </si>
  <si>
    <t>W-3</t>
  </si>
  <si>
    <t>31:00</t>
  </si>
  <si>
    <t>50:00</t>
  </si>
  <si>
    <t>20:00</t>
  </si>
  <si>
    <t>W-2</t>
  </si>
  <si>
    <t>45:00</t>
  </si>
  <si>
    <t>08:00</t>
  </si>
  <si>
    <t>W-1</t>
  </si>
  <si>
    <t>Warm-up</t>
  </si>
  <si>
    <t>04:00</t>
  </si>
  <si>
    <t>Week</t>
  </si>
  <si>
    <t>Avg. pace</t>
  </si>
  <si>
    <t>04:30</t>
  </si>
  <si>
    <t>In decimal</t>
  </si>
  <si>
    <t>Hour</t>
  </si>
  <si>
    <t>Convert to Time</t>
  </si>
  <si>
    <t>00:25</t>
  </si>
  <si>
    <t>06:30</t>
  </si>
  <si>
    <t>01:15</t>
  </si>
  <si>
    <t>01:10</t>
  </si>
  <si>
    <t>01:05</t>
  </si>
  <si>
    <t>00:50</t>
  </si>
  <si>
    <t>00:40</t>
  </si>
  <si>
    <t>km</t>
  </si>
  <si>
    <t>mile</t>
  </si>
  <si>
    <t>km/hour</t>
  </si>
  <si>
    <t>05:20</t>
  </si>
  <si>
    <t>Name</t>
  </si>
  <si>
    <t>City / Race Location</t>
  </si>
  <si>
    <t>Country</t>
  </si>
  <si>
    <t>Inception</t>
  </si>
  <si>
    <t>Amsterdam Marathon</t>
  </si>
  <si>
    <t>Amsterdam</t>
  </si>
  <si>
    <t> Netherlands</t>
  </si>
  <si>
    <t>October</t>
  </si>
  <si>
    <t>Berlin Marathon</t>
  </si>
  <si>
    <t>Berlin</t>
  </si>
  <si>
    <t> Germany</t>
  </si>
  <si>
    <t>September</t>
  </si>
  <si>
    <t>Boston Marathon</t>
  </si>
  <si>
    <t>Boston</t>
  </si>
  <si>
    <t> United States</t>
  </si>
  <si>
    <t>April</t>
  </si>
  <si>
    <t>Chicago Marathon</t>
  </si>
  <si>
    <t>Chicago</t>
  </si>
  <si>
    <t>London Marathon</t>
  </si>
  <si>
    <t>London</t>
  </si>
  <si>
    <t> United Kingdom</t>
  </si>
  <si>
    <t>Nagoya Women's Marathon</t>
  </si>
  <si>
    <t>Nagoya</t>
  </si>
  <si>
    <t> Japan</t>
  </si>
  <si>
    <t>March</t>
  </si>
  <si>
    <t>New York City Marathon</t>
  </si>
  <si>
    <t>New York City</t>
  </si>
  <si>
    <t>November</t>
  </si>
  <si>
    <t>Osaka Women's Marathon</t>
  </si>
  <si>
    <t>Osaka</t>
  </si>
  <si>
    <t>January</t>
  </si>
  <si>
    <t>Seoul International Marathon</t>
  </si>
  <si>
    <t>Seoul</t>
  </si>
  <si>
    <t> South Korea</t>
  </si>
  <si>
    <t>Shanghai Marathon</t>
  </si>
  <si>
    <t>Shanghai</t>
  </si>
  <si>
    <t> China</t>
  </si>
  <si>
    <t>December</t>
  </si>
  <si>
    <t>Sydney Marathon</t>
  </si>
  <si>
    <t>Sydney</t>
  </si>
  <si>
    <t> Australia</t>
  </si>
  <si>
    <t>Tokyo Marathon</t>
  </si>
  <si>
    <t>Tokyo</t>
  </si>
  <si>
    <t>February</t>
  </si>
  <si>
    <t>Valencia Marathon</t>
  </si>
  <si>
    <t>Valencia</t>
  </si>
  <si>
    <t> Spain</t>
  </si>
  <si>
    <t>Xiamen Marathon</t>
  </si>
  <si>
    <t>Xiamen</t>
  </si>
  <si>
    <t>Month</t>
  </si>
  <si>
    <t>Barcelona Marathon</t>
  </si>
  <si>
    <t>Barcelona</t>
  </si>
  <si>
    <t>Beijing Marathon</t>
  </si>
  <si>
    <t>Beijing</t>
  </si>
  <si>
    <t>Buriram Marathon</t>
  </si>
  <si>
    <t>Buriram</t>
  </si>
  <si>
    <t> Thailand</t>
  </si>
  <si>
    <t>Daegu Marathon</t>
  </si>
  <si>
    <t>Daegu</t>
  </si>
  <si>
    <t>Doha Marathon</t>
  </si>
  <si>
    <t>Doha</t>
  </si>
  <si>
    <t> Qatar</t>
  </si>
  <si>
    <t>Guangzhou Marathon</t>
  </si>
  <si>
    <t>Guangzhou</t>
  </si>
  <si>
    <t>Hangzhou International Marathon</t>
  </si>
  <si>
    <t>Hangzhou</t>
  </si>
  <si>
    <t>Hong Kong Marathon</t>
  </si>
  <si>
    <t>Hong Kong</t>
  </si>
  <si>
    <t> Hong Kong</t>
  </si>
  <si>
    <t>Houston Marathon</t>
  </si>
  <si>
    <t>Houston</t>
  </si>
  <si>
    <t>Istanbul Marathon</t>
  </si>
  <si>
    <t>Istanbul</t>
  </si>
  <si>
    <t> Turkey</t>
  </si>
  <si>
    <t>Lagos City Marathon</t>
  </si>
  <si>
    <t>Lagos</t>
  </si>
  <si>
    <t> Nigeria</t>
  </si>
  <si>
    <t>Ljubljana Marathon</t>
  </si>
  <si>
    <t>Ljubljana</t>
  </si>
  <si>
    <t> Slovenia</t>
  </si>
  <si>
    <t>Mexico City Marathon</t>
  </si>
  <si>
    <t>Mexico City</t>
  </si>
  <si>
    <t> Mexico</t>
  </si>
  <si>
    <t>August</t>
  </si>
  <si>
    <t>Mumbai Marathon</t>
  </si>
  <si>
    <t>Mumbai</t>
  </si>
  <si>
    <t> India</t>
  </si>
  <si>
    <t>New Taipei City Wan Jin Shi Marathon</t>
  </si>
  <si>
    <t>New Taipei City</t>
  </si>
  <si>
    <t> Taiwan</t>
  </si>
  <si>
    <t>Osaka Marathon</t>
  </si>
  <si>
    <t>Rotterdam Marathon</t>
  </si>
  <si>
    <t>Rotterdam</t>
  </si>
  <si>
    <t>Singapore Marathon</t>
  </si>
  <si>
    <t>Singapore</t>
  </si>
  <si>
    <t> Singapore</t>
  </si>
  <si>
    <t>Taipei Marathon</t>
  </si>
  <si>
    <t>Taipei</t>
  </si>
  <si>
    <t>Gold</t>
  </si>
  <si>
    <t>Rank</t>
  </si>
  <si>
    <t>Platinum</t>
  </si>
  <si>
    <t>Majors</t>
  </si>
  <si>
    <t>Abu Dhabi Marathon</t>
  </si>
  <si>
    <t>Abu Dhabi</t>
  </si>
  <si>
    <t>Athens Marathon</t>
  </si>
  <si>
    <t>Athens</t>
  </si>
  <si>
    <t> Greece</t>
  </si>
  <si>
    <t>Bali Marathon</t>
  </si>
  <si>
    <t>Gianyar</t>
  </si>
  <si>
    <t> Indonesia</t>
  </si>
  <si>
    <t>Bangkok Marathon</t>
  </si>
  <si>
    <t>Bangkok</t>
  </si>
  <si>
    <t>Bangsaen Marathon</t>
  </si>
  <si>
    <t>Bang Saen</t>
  </si>
  <si>
    <t>Belfast Marathon</t>
  </si>
  <si>
    <t>Belfast</t>
  </si>
  <si>
    <t> Northern Ireland</t>
  </si>
  <si>
    <t>May</t>
  </si>
  <si>
    <t>Belgrade Marathon</t>
  </si>
  <si>
    <t>Belgrade</t>
  </si>
  <si>
    <t> Serbia</t>
  </si>
  <si>
    <t>Bengaluru Marathon</t>
  </si>
  <si>
    <t>Bengaluru</t>
  </si>
  <si>
    <t>Beppu-Ōita Marathon</t>
  </si>
  <si>
    <t>Bratislava Marathon</t>
  </si>
  <si>
    <t>Bratislava</t>
  </si>
  <si>
    <t> Slovakia</t>
  </si>
  <si>
    <t>Bucharest Marathon</t>
  </si>
  <si>
    <t>Bucharest</t>
  </si>
  <si>
    <t> Romania</t>
  </si>
  <si>
    <t>Buenos Aires Marathon</t>
  </si>
  <si>
    <t>Buenos Aires</t>
  </si>
  <si>
    <t> Argentina</t>
  </si>
  <si>
    <t>Cape Town Marathon</t>
  </si>
  <si>
    <t>Cape Town</t>
  </si>
  <si>
    <t> South Africa</t>
  </si>
  <si>
    <t>Castellón Marathon</t>
  </si>
  <si>
    <t>Castellón</t>
  </si>
  <si>
    <t>Copenhagen Marathon</t>
  </si>
  <si>
    <t>Copenhagen</t>
  </si>
  <si>
    <t> Denmark</t>
  </si>
  <si>
    <t>Dubai Marathon</t>
  </si>
  <si>
    <t>Dubai</t>
  </si>
  <si>
    <t> United Arab Emirates</t>
  </si>
  <si>
    <t>Dublin Marathon</t>
  </si>
  <si>
    <t>Dublin</t>
  </si>
  <si>
    <t>Durban Marathon</t>
  </si>
  <si>
    <t>Durban</t>
  </si>
  <si>
    <t>Enschede Marathon</t>
  </si>
  <si>
    <t>Enschede</t>
  </si>
  <si>
    <t>Frankfurt Marathon</t>
  </si>
  <si>
    <t>Frankfurt</t>
  </si>
  <si>
    <t>Fukuoka Marathon</t>
  </si>
  <si>
    <t>Fukuoka</t>
  </si>
  <si>
    <t>Geneva Marathon</t>
  </si>
  <si>
    <t>Geneva</t>
  </si>
  <si>
    <t> Switzerland</t>
  </si>
  <si>
    <t>Gold Coast Marathon</t>
  </si>
  <si>
    <t>Gold Coast</t>
  </si>
  <si>
    <t>July</t>
  </si>
  <si>
    <t>Guadalajara Marathon</t>
  </si>
  <si>
    <t>Guadalajara</t>
  </si>
  <si>
    <t>October/November</t>
  </si>
  <si>
    <t>Hannover Marathon</t>
  </si>
  <si>
    <t>Hannover</t>
  </si>
  <si>
    <t>Hōfu Marathon</t>
  </si>
  <si>
    <t>Hofu</t>
  </si>
  <si>
    <t>Hokkaido Marathon</t>
  </si>
  <si>
    <t>Sapporo</t>
  </si>
  <si>
    <t>Honolulu Marathon</t>
  </si>
  <si>
    <t>Honolulu</t>
  </si>
  <si>
    <t>Huangpu Marathon</t>
  </si>
  <si>
    <t>Huangpu</t>
  </si>
  <si>
    <t>Hyderabad Marathon</t>
  </si>
  <si>
    <t>Hyderabad</t>
  </si>
  <si>
    <t>Issyk-Kul Marathon</t>
  </si>
  <si>
    <t>Cholpon-Ata</t>
  </si>
  <si>
    <t> Kyrgyzstan</t>
  </si>
  <si>
    <t>İzmir Marathon</t>
  </si>
  <si>
    <t>Izmir</t>
  </si>
  <si>
    <t>Jakarta Marathon</t>
  </si>
  <si>
    <t>Jakarta</t>
  </si>
  <si>
    <t>Kilgali International Marathon</t>
  </si>
  <si>
    <t>Kilgali</t>
  </si>
  <si>
    <t>May/June</t>
  </si>
  <si>
    <t>Kobe Marathon</t>
  </si>
  <si>
    <t>Kobe</t>
  </si>
  <si>
    <t>Košice Peace Marathon</t>
  </si>
  <si>
    <t>Košice</t>
  </si>
  <si>
    <t>Kuala Lumpur Marathon</t>
  </si>
  <si>
    <t>Kuala Lumpur</t>
  </si>
  <si>
    <t> Malaysia</t>
  </si>
  <si>
    <t>Lisbon Marathon</t>
  </si>
  <si>
    <t>Lisbon</t>
  </si>
  <si>
    <t>Madrid Marathon</t>
  </si>
  <si>
    <t>Madrid</t>
  </si>
  <si>
    <t>Málaga Marathon</t>
  </si>
  <si>
    <t>Malaga</t>
  </si>
  <si>
    <t>Marrakesh Marathon</t>
  </si>
  <si>
    <t>Marrakesh</t>
  </si>
  <si>
    <t> Morocco</t>
  </si>
  <si>
    <t>Mersin Marathon</t>
  </si>
  <si>
    <t>Mersin</t>
  </si>
  <si>
    <t>Milan Marathon</t>
  </si>
  <si>
    <t>Milan</t>
  </si>
  <si>
    <t> Italy</t>
  </si>
  <si>
    <t>Nairobi Marathon</t>
  </si>
  <si>
    <t>Nairobi</t>
  </si>
  <si>
    <t> Kenya</t>
  </si>
  <si>
    <t>Nanjing Marathon</t>
  </si>
  <si>
    <t>Nanjing</t>
  </si>
  <si>
    <t>Ottawa Marathon</t>
  </si>
  <si>
    <t>Ottawa</t>
  </si>
  <si>
    <t> Canada</t>
  </si>
  <si>
    <t>Paris Marathon</t>
  </si>
  <si>
    <t>Paris</t>
  </si>
  <si>
    <t> France</t>
  </si>
  <si>
    <t>Pattaya Marathon</t>
  </si>
  <si>
    <t>Pattaya</t>
  </si>
  <si>
    <t>Porto Marathon</t>
  </si>
  <si>
    <t>Porto</t>
  </si>
  <si>
    <t> Portugal</t>
  </si>
  <si>
    <t>Prague Marathon</t>
  </si>
  <si>
    <t>Prague</t>
  </si>
  <si>
    <t>Rabat Marathon</t>
  </si>
  <si>
    <t>Rabat</t>
  </si>
  <si>
    <t>Rio de Janeiro Marathon</t>
  </si>
  <si>
    <t>Rio de Janeiro</t>
  </si>
  <si>
    <t> Brazil</t>
  </si>
  <si>
    <t>June</t>
  </si>
  <si>
    <t>Riyadh Marathon</t>
  </si>
  <si>
    <t>Riyadh</t>
  </si>
  <si>
    <t>February/March</t>
  </si>
  <si>
    <t>Riga Marathon</t>
  </si>
  <si>
    <t>Riga</t>
  </si>
  <si>
    <t> Latvia</t>
  </si>
  <si>
    <t>Rome Marathon</t>
  </si>
  <si>
    <t>Rome</t>
  </si>
  <si>
    <t>Sao Paulo International Marathon</t>
  </si>
  <si>
    <t>Sao Paulo</t>
  </si>
  <si>
    <t>Seville Marathon</t>
  </si>
  <si>
    <t>Seville</t>
  </si>
  <si>
    <t>Sofia Marathon</t>
  </si>
  <si>
    <t>Sofia</t>
  </si>
  <si>
    <t> Bulgaria</t>
  </si>
  <si>
    <t>Stockholm Marathon</t>
  </si>
  <si>
    <t>Stockholm</t>
  </si>
  <si>
    <t> Sweden</t>
  </si>
  <si>
    <t>Sunshine Coast Marathon</t>
  </si>
  <si>
    <t>Sunshine Coast</t>
  </si>
  <si>
    <t>Tallinn Marathon</t>
  </si>
  <si>
    <t>Tallinn</t>
  </si>
  <si>
    <t> Estonia</t>
  </si>
  <si>
    <t>Tashkent Marathon</t>
  </si>
  <si>
    <t>Tashkent</t>
  </si>
  <si>
    <t> Uzbekistan</t>
  </si>
  <si>
    <t>Toronto Waterfront Marathon</t>
  </si>
  <si>
    <t>Toronto</t>
  </si>
  <si>
    <t>Tunis-Carthage Marathon</t>
  </si>
  <si>
    <t>Tunis</t>
  </si>
  <si>
    <t> Tunisia</t>
  </si>
  <si>
    <t>Venice Marathon</t>
  </si>
  <si>
    <t>Venice</t>
  </si>
  <si>
    <t>Vienna Marathon</t>
  </si>
  <si>
    <t>Vienna</t>
  </si>
  <si>
    <t>Vilnius Marathon</t>
  </si>
  <si>
    <t>Vilnius</t>
  </si>
  <si>
    <t> Lithuania</t>
  </si>
  <si>
    <t>Warsaw Marathon</t>
  </si>
  <si>
    <t>Warsaw</t>
  </si>
  <si>
    <t> Poland</t>
  </si>
  <si>
    <t>September/October</t>
  </si>
  <si>
    <t>Zagreb Marathon</t>
  </si>
  <si>
    <t>Zagreb</t>
  </si>
  <si>
    <t> Croatia</t>
  </si>
  <si>
    <t>Beppu and Ōita</t>
  </si>
  <si>
    <t> Ireland</t>
  </si>
  <si>
    <t> Rwanda</t>
  </si>
  <si>
    <t> Czech Republic</t>
  </si>
  <si>
    <t> Saudi Arabia</t>
  </si>
  <si>
    <t> Austria</t>
  </si>
  <si>
    <t>Elite</t>
  </si>
  <si>
    <t>Others</t>
  </si>
  <si>
    <t>Rank_mod</t>
  </si>
  <si>
    <t>Month_adj</t>
  </si>
  <si>
    <t>2/3</t>
  </si>
  <si>
    <t>5/6</t>
  </si>
  <si>
    <t>11</t>
  </si>
  <si>
    <t>10</t>
  </si>
  <si>
    <t>10/11</t>
  </si>
  <si>
    <t>9</t>
  </si>
  <si>
    <t>9/10</t>
  </si>
  <si>
    <t>Starbucks</t>
  </si>
  <si>
    <t>환기구</t>
  </si>
  <si>
    <t>동상</t>
  </si>
  <si>
    <t>Hoboken lightrail</t>
  </si>
  <si>
    <t>공원</t>
  </si>
  <si>
    <t>운동장 입구</t>
  </si>
  <si>
    <t>운동장 끝</t>
  </si>
  <si>
    <t>정자</t>
  </si>
  <si>
    <t>North</t>
  </si>
  <si>
    <t>South</t>
  </si>
  <si>
    <t>Hudson &amp; Co</t>
  </si>
  <si>
    <t>건물</t>
  </si>
  <si>
    <t>Exchange place</t>
  </si>
  <si>
    <t>선착장</t>
  </si>
  <si>
    <t>Colgate</t>
  </si>
  <si>
    <t>NY</t>
  </si>
  <si>
    <t>United Airlines NYC Half Marathon</t>
  </si>
  <si>
    <t>Application</t>
  </si>
  <si>
    <t>RBC Brooklyn Half Marathon</t>
  </si>
  <si>
    <t>Feb</t>
  </si>
  <si>
    <t>From</t>
  </si>
  <si>
    <t>To</t>
  </si>
  <si>
    <t>Oct</t>
  </si>
  <si>
    <t>W-14</t>
  </si>
  <si>
    <t>W-13</t>
  </si>
  <si>
    <t>Hill</t>
  </si>
  <si>
    <t>W-12</t>
  </si>
  <si>
    <t>W-11</t>
  </si>
  <si>
    <t>W-10</t>
  </si>
  <si>
    <t>23:00</t>
  </si>
  <si>
    <t>W-9</t>
  </si>
  <si>
    <t>60:00</t>
  </si>
  <si>
    <t>NYRR Staten Island Half</t>
  </si>
  <si>
    <t>Tags</t>
  </si>
  <si>
    <t>9+1</t>
  </si>
  <si>
    <t>4 out of 6</t>
  </si>
  <si>
    <t>NYRR Grete's Great Gallop 10K</t>
  </si>
  <si>
    <t>New Balance 5th Avenue Mile</t>
  </si>
  <si>
    <t>New Balance Bronx 10 Mile</t>
  </si>
  <si>
    <t>TCS New York City Marathon Training Series 18M</t>
  </si>
  <si>
    <t>NYRR Jersey City 5K</t>
  </si>
  <si>
    <t>Cost</t>
  </si>
  <si>
    <t>Abbott Dash to the Finish Line 5K</t>
  </si>
  <si>
    <t>Race to Deliver 4M to Benefit God's Love We Deliver</t>
  </si>
  <si>
    <t>4m</t>
  </si>
  <si>
    <t>18m</t>
  </si>
  <si>
    <t>10m</t>
  </si>
  <si>
    <t>1m</t>
  </si>
  <si>
    <t>NYRR Ted Corbitt 15K</t>
  </si>
  <si>
    <t>15k</t>
  </si>
  <si>
    <t>NYRR Frosty 5K</t>
  </si>
  <si>
    <t>NYRR Midnight Run</t>
  </si>
  <si>
    <t>12</t>
  </si>
  <si>
    <t>3</t>
  </si>
  <si>
    <t>4</t>
  </si>
  <si>
    <t>8</t>
  </si>
  <si>
    <t>NYRR Manhattan 10K</t>
  </si>
  <si>
    <t>2</t>
  </si>
  <si>
    <t>Virtual United Airlines NYC Half Medal</t>
  </si>
  <si>
    <t>Half*</t>
  </si>
  <si>
    <t>5</t>
  </si>
  <si>
    <t>Citizens Queens 10K</t>
  </si>
  <si>
    <t>6</t>
  </si>
  <si>
    <t>Dec</t>
  </si>
  <si>
    <t>Jan</t>
  </si>
  <si>
    <t>NYCRUNS Brooklyn Experience Half Marathon</t>
  </si>
  <si>
    <t>Jun</t>
  </si>
  <si>
    <t>NJ</t>
  </si>
  <si>
    <t>Jersey City Marathon</t>
  </si>
  <si>
    <t>Split</t>
  </si>
  <si>
    <t>In format</t>
  </si>
  <si>
    <t>Last</t>
  </si>
  <si>
    <t>Pace up</t>
  </si>
  <si>
    <t>Total seconds</t>
  </si>
  <si>
    <t>Goal</t>
  </si>
  <si>
    <t>Speed_adj</t>
  </si>
  <si>
    <t>06:13</t>
  </si>
  <si>
    <t>07:12</t>
  </si>
  <si>
    <t>05:36</t>
  </si>
  <si>
    <t>km/h</t>
  </si>
  <si>
    <t>3x</t>
  </si>
  <si>
    <t>05:26</t>
  </si>
  <si>
    <t>05:48</t>
  </si>
  <si>
    <t>26:10</t>
  </si>
  <si>
    <t>04:49</t>
  </si>
  <si>
    <t>05:01</t>
  </si>
  <si>
    <t>05:13</t>
  </si>
  <si>
    <t>05:41</t>
  </si>
  <si>
    <t>05:54</t>
  </si>
  <si>
    <t>06:21</t>
  </si>
  <si>
    <t>06:31</t>
  </si>
  <si>
    <t>06:38</t>
  </si>
  <si>
    <t>06:44</t>
  </si>
  <si>
    <t>04:37</t>
  </si>
  <si>
    <t>04:48</t>
  </si>
  <si>
    <t>04:59</t>
  </si>
  <si>
    <t>05:11</t>
  </si>
  <si>
    <t>05:24</t>
  </si>
  <si>
    <t>05:38</t>
  </si>
  <si>
    <t>06:06</t>
  </si>
  <si>
    <t>00:56</t>
  </si>
  <si>
    <t>25</t>
  </si>
  <si>
    <t>00</t>
  </si>
  <si>
    <t xml:space="preserve">Marine Corps Marathon	</t>
  </si>
  <si>
    <t xml:space="preserve">Arlington, VA / Washington D.C.	</t>
  </si>
  <si>
    <t xml:space="preserve">Philadelphia Marathon	</t>
  </si>
  <si>
    <t xml:space="preserve">Philadelphia, Pennsylvania	</t>
  </si>
  <si>
    <t>US top 10</t>
  </si>
  <si>
    <t>Los Angeles Marathon</t>
  </si>
  <si>
    <t>Feb/Mar</t>
  </si>
  <si>
    <t>Big Sur International Marathon</t>
  </si>
  <si>
    <t>Walt Disney World Marathon</t>
  </si>
  <si>
    <t>Virtual Global Running Day 5K</t>
  </si>
  <si>
    <t># of finishers</t>
  </si>
  <si>
    <t>Virtual NYRR Resolution Run 5K</t>
  </si>
  <si>
    <t>Virtual 6</t>
  </si>
  <si>
    <t>NYRR Brooklyn R-U-N 5K</t>
  </si>
  <si>
    <t>Virtual NYRR Black History Month Challenge</t>
  </si>
  <si>
    <t>28 miles</t>
  </si>
  <si>
    <t>스트레칭</t>
  </si>
  <si>
    <t>등</t>
  </si>
  <si>
    <t>가슴</t>
  </si>
  <si>
    <t>어깨</t>
  </si>
  <si>
    <t>Incline</t>
  </si>
  <si>
    <t>Push-up</t>
  </si>
  <si>
    <t>Pull-up</t>
  </si>
  <si>
    <t>Chin-up</t>
  </si>
  <si>
    <t>Lateral</t>
  </si>
  <si>
    <t>Arnold</t>
  </si>
  <si>
    <t>Front</t>
  </si>
  <si>
    <t>Rear</t>
  </si>
  <si>
    <t>OHP/BTN</t>
  </si>
  <si>
    <t>Neutral</t>
  </si>
  <si>
    <t>Odd - opposite</t>
  </si>
  <si>
    <t>Even - regular</t>
  </si>
  <si>
    <t>NYRR Mindful 5K</t>
  </si>
  <si>
    <t>Achilles Hope &amp; Possibility 4M Presented by TD Bank</t>
  </si>
  <si>
    <t>Top 12 in 2026</t>
  </si>
  <si>
    <t>French Riviera Marathon Nice-Cannes</t>
  </si>
  <si>
    <t>TV</t>
  </si>
  <si>
    <t>Marathon des châteaux du Médoc</t>
  </si>
  <si>
    <t>Walkers Cayman Islands Marathon</t>
  </si>
  <si>
    <t>France</t>
  </si>
  <si>
    <t>Caribbean</t>
  </si>
  <si>
    <t>Estra Firenze Marathon</t>
  </si>
  <si>
    <t>Italy</t>
  </si>
  <si>
    <t>01:50</t>
  </si>
  <si>
    <t>Virtual RBC Brooklyn Half Marathon</t>
  </si>
  <si>
    <t>23:01</t>
  </si>
  <si>
    <t>04:13</t>
  </si>
  <si>
    <t>W-18</t>
  </si>
  <si>
    <t>05:39</t>
  </si>
  <si>
    <t>04:25</t>
  </si>
  <si>
    <t>04:46</t>
  </si>
  <si>
    <t>W-17</t>
  </si>
  <si>
    <t>W-16</t>
  </si>
  <si>
    <t>W-15</t>
  </si>
  <si>
    <t>48:00</t>
  </si>
  <si>
    <t>32:00</t>
  </si>
  <si>
    <t>W-09</t>
  </si>
  <si>
    <t>120:00</t>
  </si>
  <si>
    <t>W-08</t>
  </si>
  <si>
    <t>22-26</t>
  </si>
  <si>
    <t>W-07</t>
  </si>
  <si>
    <t>26-29</t>
  </si>
  <si>
    <t>W-06</t>
  </si>
  <si>
    <t>65:00</t>
  </si>
  <si>
    <t>90:00</t>
  </si>
  <si>
    <t>W-05</t>
  </si>
  <si>
    <t>29-35</t>
  </si>
  <si>
    <t>W-04</t>
  </si>
  <si>
    <t>24-26</t>
  </si>
  <si>
    <t>W-03</t>
  </si>
  <si>
    <t>80:00</t>
  </si>
  <si>
    <t>19-23</t>
  </si>
  <si>
    <t>Cool down</t>
  </si>
  <si>
    <t>W-02</t>
  </si>
  <si>
    <t>W-01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</si>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</sst>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164" formatCode="00"/>
    <numFmt numFmtId="165" formatCode="0.0"/>
    <numFmt numFmtId="166" formatCode="0.0&quot;km&quot;"/>
    <numFmt numFmtId="167" formatCode="0&quot;km&quot;"/>
    <numFmt numFmtId="168" formatCode="#,##0.0"/>
    <numFmt numFmtId="169" formatCode="hh:mm"/>
    <numFmt numFmtId="170" formatCode="&quot;Half (&quot;0&quot;km)&quot;"/>
    <numFmt numFmtId="171" formatCode="&quot;Full (&quot;0&quot;km)&quot;"/>
    <numFmt numFmtId="172" formatCode="0.00&quot;km&quot;"/>
    <numFmt numFmtId="173" formatCode="hh:mm:ss"/>
    <numFmt numFmtId="174" formatCode="0&quot;m&quot;"/>
    <numFmt numFmtId="175" formatCode="mm/dd/yyyy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/>
      <right style="thin">
        <color indexed="64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1" fillId="0" borderId="0"/>
  </cellStyleXfs>
  <cellXfs count="176">
    <xf numFmtId="0" fontId="0" fillId="0" borderId="0" xfId="0"/>
    <xf numFmtId="4" fontId="0" fillId="0" borderId="0" xfId="0" applyNumberFormat="1"/>
    <xf numFmtId="3" fontId="0" fillId="0" borderId="0" xfId="0" applyNumberForma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 applyAlignment="1">
      <alignment horizontal="right"/>
    </xf>
    <xf numFmtId="0" fontId="0" fillId="0" borderId="4" xfId="0" applyBorder="1"/>
    <xf numFmtId="0" fontId="2" fillId="0" borderId="4" xfId="0" applyFont="1" applyBorder="1"/>
    <xf numFmtId="0" fontId="2" fillId="0" borderId="5" xfId="0" applyFont="1" applyBorder="1"/>
    <xf numFmtId="45" fontId="0" fillId="0" borderId="4" xfId="0" applyNumberFormat="1" applyBorder="1"/>
    <xf numFmtId="49" fontId="0" fillId="0" borderId="6" xfId="0" applyNumberFormat="1" applyBorder="1"/>
    <xf numFmtId="49" fontId="0" fillId="0" borderId="1" xfId="0" applyNumberFormat="1" applyBorder="1"/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9" fontId="0" fillId="0" borderId="0" xfId="0" applyNumberFormat="1"/>
    <xf numFmtId="164" fontId="0" fillId="0" borderId="0" xfId="0" applyNumberFormat="1" applyAlignment="1">
      <alignment horizontal="left"/>
    </xf>
    <xf numFmtId="165" fontId="0" fillId="0" borderId="0" xfId="0" applyNumberFormat="1"/>
    <xf numFmtId="4" fontId="0" fillId="2" borderId="0" xfId="0" applyNumberFormat="1" applyFill="1"/>
    <xf numFmtId="3" fontId="0" fillId="2" borderId="0" xfId="0" applyNumberFormat="1" applyFill="1"/>
    <xf numFmtId="9" fontId="0" fillId="2" borderId="0" xfId="0" applyNumberFormat="1" applyFill="1"/>
    <xf numFmtId="0" fontId="0" fillId="0" borderId="1" xfId="0" applyBorder="1"/>
    <xf numFmtId="0" fontId="2" fillId="0" borderId="7" xfId="0" applyFont="1" applyBorder="1"/>
    <xf numFmtId="0" fontId="2" fillId="0" borderId="8" xfId="0" applyFont="1" applyBorder="1"/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49" fontId="0" fillId="0" borderId="1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6" fontId="0" fillId="0" borderId="9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49" fontId="0" fillId="0" borderId="11" xfId="0" applyNumberFormat="1" applyBorder="1" applyAlignment="1">
      <alignment horizontal="right"/>
    </xf>
    <xf numFmtId="0" fontId="0" fillId="0" borderId="9" xfId="0" applyBorder="1"/>
    <xf numFmtId="0" fontId="1" fillId="0" borderId="4" xfId="0" applyFont="1" applyBorder="1"/>
    <xf numFmtId="0" fontId="1" fillId="0" borderId="10" xfId="0" applyFont="1" applyBorder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6" fontId="0" fillId="4" borderId="0" xfId="0" applyNumberFormat="1" applyFill="1" applyAlignment="1">
      <alignment horizontal="right"/>
    </xf>
    <xf numFmtId="166" fontId="0" fillId="7" borderId="0" xfId="0" applyNumberFormat="1" applyFill="1" applyAlignment="1">
      <alignment horizontal="right"/>
    </xf>
    <xf numFmtId="166" fontId="0" fillId="7" borderId="9" xfId="0" applyNumberFormat="1" applyFill="1" applyBorder="1" applyAlignment="1">
      <alignment horizontal="right"/>
    </xf>
    <xf numFmtId="166" fontId="0" fillId="5" borderId="0" xfId="0" applyNumberFormat="1" applyFill="1" applyAlignment="1">
      <alignment horizontal="right"/>
    </xf>
    <xf numFmtId="166" fontId="0" fillId="2" borderId="0" xfId="0" applyNumberFormat="1" applyFill="1" applyAlignment="1">
      <alignment horizontal="right"/>
    </xf>
    <xf numFmtId="166" fontId="0" fillId="3" borderId="9" xfId="0" applyNumberFormat="1" applyFill="1" applyBorder="1" applyAlignment="1">
      <alignment horizontal="right"/>
    </xf>
    <xf numFmtId="166" fontId="0" fillId="3" borderId="0" xfId="0" applyNumberFormat="1" applyFill="1" applyAlignment="1">
      <alignment horizontal="right"/>
    </xf>
    <xf numFmtId="166" fontId="0" fillId="6" borderId="0" xfId="0" applyNumberFormat="1" applyFill="1" applyAlignment="1">
      <alignment horizontal="right"/>
    </xf>
    <xf numFmtId="4" fontId="2" fillId="0" borderId="0" xfId="0" applyNumberFormat="1" applyFont="1"/>
    <xf numFmtId="0" fontId="2" fillId="0" borderId="12" xfId="0" applyFont="1" applyBorder="1"/>
    <xf numFmtId="167" fontId="2" fillId="0" borderId="12" xfId="0" applyNumberFormat="1" applyFont="1" applyBorder="1" applyAlignment="1">
      <alignment horizontal="left"/>
    </xf>
    <xf numFmtId="49" fontId="0" fillId="2" borderId="12" xfId="0" applyNumberFormat="1" applyFill="1" applyBorder="1" applyAlignment="1">
      <alignment horizontal="right"/>
    </xf>
    <xf numFmtId="169" fontId="0" fillId="0" borderId="12" xfId="0" applyNumberFormat="1" applyBorder="1"/>
    <xf numFmtId="45" fontId="0" fillId="0" borderId="12" xfId="0" applyNumberFormat="1" applyBorder="1"/>
    <xf numFmtId="0" fontId="0" fillId="0" borderId="12" xfId="0" applyBorder="1"/>
    <xf numFmtId="171" fontId="2" fillId="0" borderId="12" xfId="0" applyNumberFormat="1" applyFont="1" applyBorder="1" applyAlignment="1">
      <alignment horizontal="left"/>
    </xf>
    <xf numFmtId="170" fontId="2" fillId="0" borderId="12" xfId="0" applyNumberFormat="1" applyFont="1" applyBorder="1" applyAlignment="1">
      <alignment horizontal="left"/>
    </xf>
    <xf numFmtId="4" fontId="0" fillId="2" borderId="12" xfId="0" applyNumberFormat="1" applyFill="1" applyBorder="1"/>
    <xf numFmtId="4" fontId="0" fillId="0" borderId="12" xfId="0" applyNumberFormat="1" applyBorder="1"/>
    <xf numFmtId="168" fontId="0" fillId="0" borderId="12" xfId="0" applyNumberFormat="1" applyBorder="1"/>
    <xf numFmtId="168" fontId="0" fillId="2" borderId="12" xfId="0" applyNumberFormat="1" applyFill="1" applyBorder="1"/>
    <xf numFmtId="3" fontId="2" fillId="0" borderId="0" xfId="0" applyNumberFormat="1" applyFont="1"/>
    <xf numFmtId="169" fontId="5" fillId="0" borderId="12" xfId="0" applyNumberFormat="1" applyFont="1" applyBorder="1"/>
    <xf numFmtId="49" fontId="5" fillId="2" borderId="12" xfId="0" applyNumberFormat="1" applyFont="1" applyFill="1" applyBorder="1" applyAlignment="1">
      <alignment horizontal="right"/>
    </xf>
    <xf numFmtId="45" fontId="5" fillId="0" borderId="12" xfId="0" applyNumberFormat="1" applyFont="1" applyBorder="1"/>
    <xf numFmtId="168" fontId="5" fillId="0" borderId="12" xfId="0" applyNumberFormat="1" applyFont="1" applyBorder="1"/>
    <xf numFmtId="0" fontId="5" fillId="0" borderId="0" xfId="0" applyFont="1" applyAlignment="1">
      <alignment horizontal="right"/>
    </xf>
    <xf numFmtId="3" fontId="5" fillId="0" borderId="0" xfId="0" applyNumberFormat="1" applyFont="1"/>
    <xf numFmtId="4" fontId="5" fillId="0" borderId="0" xfId="0" applyNumberFormat="1" applyFont="1"/>
    <xf numFmtId="0" fontId="5" fillId="0" borderId="0" xfId="0" applyFont="1"/>
    <xf numFmtId="172" fontId="0" fillId="0" borderId="0" xfId="0" applyNumberFormat="1"/>
    <xf numFmtId="169" fontId="0" fillId="0" borderId="0" xfId="0" applyNumberFormat="1"/>
    <xf numFmtId="173" fontId="0" fillId="0" borderId="0" xfId="0" applyNumberFormat="1"/>
    <xf numFmtId="49" fontId="0" fillId="2" borderId="0" xfId="0" applyNumberFormat="1" applyFill="1" applyAlignment="1">
      <alignment horizontal="right"/>
    </xf>
    <xf numFmtId="0" fontId="1" fillId="0" borderId="0" xfId="0" applyFont="1"/>
    <xf numFmtId="0" fontId="8" fillId="0" borderId="0" xfId="1"/>
    <xf numFmtId="168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7" fontId="0" fillId="0" borderId="0" xfId="0" applyNumberFormat="1"/>
    <xf numFmtId="45" fontId="0" fillId="0" borderId="0" xfId="0" applyNumberFormat="1" applyAlignment="1">
      <alignment horizontal="right"/>
    </xf>
    <xf numFmtId="0" fontId="9" fillId="2" borderId="0" xfId="0" applyFont="1" applyFill="1"/>
    <xf numFmtId="0" fontId="0" fillId="0" borderId="13" xfId="0" applyBorder="1"/>
    <xf numFmtId="0" fontId="2" fillId="0" borderId="13" xfId="0" applyFont="1" applyBorder="1"/>
    <xf numFmtId="166" fontId="2" fillId="0" borderId="13" xfId="0" applyNumberFormat="1" applyFont="1" applyBorder="1"/>
    <xf numFmtId="166" fontId="2" fillId="0" borderId="0" xfId="0" applyNumberFormat="1" applyFont="1"/>
    <xf numFmtId="0" fontId="2" fillId="2" borderId="0" xfId="0" applyFont="1" applyFill="1"/>
    <xf numFmtId="45" fontId="0" fillId="0" borderId="1" xfId="0" applyNumberFormat="1" applyBorder="1" applyAlignment="1">
      <alignment horizontal="right"/>
    </xf>
    <xf numFmtId="174" fontId="0" fillId="0" borderId="0" xfId="0" applyNumberFormat="1"/>
    <xf numFmtId="172" fontId="0" fillId="0" borderId="9" xfId="0" applyNumberFormat="1" applyBorder="1" applyAlignment="1">
      <alignment horizontal="right"/>
    </xf>
    <xf numFmtId="4" fontId="2" fillId="0" borderId="2" xfId="0" applyNumberFormat="1" applyFont="1" applyBorder="1"/>
    <xf numFmtId="4" fontId="0" fillId="0" borderId="9" xfId="0" applyNumberFormat="1" applyBorder="1"/>
    <xf numFmtId="166" fontId="0" fillId="0" borderId="0" xfId="0" applyNumberFormat="1"/>
    <xf numFmtId="166" fontId="2" fillId="0" borderId="2" xfId="0" applyNumberFormat="1" applyFont="1" applyBorder="1"/>
    <xf numFmtId="0" fontId="0" fillId="2" borderId="1" xfId="0" applyFill="1" applyBorder="1"/>
    <xf numFmtId="172" fontId="0" fillId="0" borderId="0" xfId="0" applyNumberFormat="1" applyAlignment="1">
      <alignment horizontal="right"/>
    </xf>
    <xf numFmtId="45" fontId="0" fillId="0" borderId="9" xfId="0" applyNumberFormat="1" applyBorder="1" applyAlignment="1">
      <alignment horizontal="right"/>
    </xf>
    <xf numFmtId="168" fontId="0" fillId="0" borderId="9" xfId="0" applyNumberFormat="1" applyBorder="1" applyAlignment="1">
      <alignment horizontal="right"/>
    </xf>
    <xf numFmtId="0" fontId="0" fillId="8" borderId="0" xfId="0" applyFill="1"/>
    <xf numFmtId="166" fontId="0" fillId="2" borderId="0" xfId="0" applyNumberFormat="1" applyFill="1"/>
    <xf numFmtId="0" fontId="2" fillId="8" borderId="0" xfId="0" applyFont="1" applyFill="1"/>
    <xf numFmtId="49" fontId="0" fillId="8" borderId="0" xfId="0" applyNumberFormat="1" applyFill="1" applyAlignment="1">
      <alignment horizontal="right"/>
    </xf>
    <xf numFmtId="0" fontId="0" fillId="8" borderId="0" xfId="0" applyFill="1" applyAlignment="1">
      <alignment horizontal="right"/>
    </xf>
    <xf numFmtId="4" fontId="0" fillId="0" borderId="0" xfId="0" applyNumberFormat="1" applyAlignment="1">
      <alignment horizontal="right"/>
    </xf>
    <xf numFmtId="45" fontId="0" fillId="0" borderId="0" xfId="0" applyNumberFormat="1"/>
    <xf numFmtId="45" fontId="0" fillId="8" borderId="0" xfId="0" applyNumberFormat="1" applyFill="1"/>
    <xf numFmtId="0" fontId="0" fillId="3" borderId="0" xfId="0" applyFill="1" applyAlignment="1">
      <alignment horizontal="right"/>
    </xf>
    <xf numFmtId="168" fontId="0" fillId="0" borderId="0" xfId="0" applyNumberFormat="1"/>
    <xf numFmtId="0" fontId="2" fillId="8" borderId="2" xfId="0" applyFont="1" applyFill="1" applyBorder="1"/>
    <xf numFmtId="49" fontId="0" fillId="0" borderId="9" xfId="0" applyNumberFormat="1" applyBorder="1" applyAlignment="1">
      <alignment horizontal="right"/>
    </xf>
    <xf numFmtId="49" fontId="0" fillId="8" borderId="9" xfId="0" applyNumberFormat="1" applyFill="1" applyBorder="1" applyAlignment="1">
      <alignment horizontal="right"/>
    </xf>
    <xf numFmtId="0" fontId="0" fillId="4" borderId="1" xfId="0" applyFill="1" applyBorder="1"/>
    <xf numFmtId="0" fontId="0" fillId="4" borderId="0" xfId="0" applyFill="1" applyAlignment="1">
      <alignment horizontal="right"/>
    </xf>
    <xf numFmtId="173" fontId="0" fillId="4" borderId="0" xfId="0" applyNumberFormat="1" applyFill="1"/>
    <xf numFmtId="14" fontId="0" fillId="3" borderId="0" xfId="0" applyNumberFormat="1" applyFill="1"/>
    <xf numFmtId="14" fontId="0" fillId="0" borderId="0" xfId="0" applyNumberFormat="1"/>
    <xf numFmtId="0" fontId="0" fillId="9" borderId="0" xfId="0" applyFill="1"/>
    <xf numFmtId="14" fontId="0" fillId="9" borderId="0" xfId="0" applyNumberFormat="1" applyFill="1"/>
    <xf numFmtId="14" fontId="0" fillId="4" borderId="0" xfId="0" applyNumberFormat="1" applyFill="1"/>
    <xf numFmtId="14" fontId="2" fillId="0" borderId="0" xfId="0" applyNumberFormat="1" applyFont="1"/>
    <xf numFmtId="14" fontId="0" fillId="2" borderId="0" xfId="0" applyNumberFormat="1" applyFill="1"/>
    <xf numFmtId="175" fontId="2" fillId="0" borderId="0" xfId="0" applyNumberFormat="1" applyFont="1"/>
    <xf numFmtId="175" fontId="0" fillId="0" borderId="0" xfId="0" applyNumberFormat="1"/>
    <xf numFmtId="20" fontId="0" fillId="0" borderId="0" xfId="0" quotePrefix="1" applyNumberFormat="1" applyAlignment="1">
      <alignment horizontal="right"/>
    </xf>
    <xf numFmtId="4" fontId="0" fillId="8" borderId="0" xfId="0" applyNumberFormat="1" applyFill="1"/>
    <xf numFmtId="172" fontId="0" fillId="2" borderId="0" xfId="0" applyNumberFormat="1" applyFill="1"/>
    <xf numFmtId="172" fontId="2" fillId="0" borderId="0" xfId="0" applyNumberFormat="1" applyFont="1"/>
    <xf numFmtId="20" fontId="0" fillId="0" borderId="0" xfId="0" applyNumberFormat="1" applyAlignment="1">
      <alignment horizontal="right"/>
    </xf>
    <xf numFmtId="0" fontId="0" fillId="10" borderId="0" xfId="0" applyFill="1" applyAlignment="1">
      <alignment horizontal="right"/>
    </xf>
    <xf numFmtId="166" fontId="0" fillId="10" borderId="0" xfId="0" applyNumberFormat="1" applyFill="1" applyAlignment="1">
      <alignment horizontal="right"/>
    </xf>
    <xf numFmtId="45" fontId="0" fillId="10" borderId="0" xfId="0" applyNumberFormat="1" applyFill="1" applyAlignment="1">
      <alignment horizontal="right"/>
    </xf>
    <xf numFmtId="168" fontId="0" fillId="10" borderId="0" xfId="0" applyNumberFormat="1" applyFill="1" applyAlignment="1">
      <alignment horizontal="right"/>
    </xf>
    <xf numFmtId="49" fontId="0" fillId="10" borderId="1" xfId="0" applyNumberFormat="1" applyFill="1" applyBorder="1" applyAlignment="1">
      <alignment horizontal="right"/>
    </xf>
    <xf numFmtId="172" fontId="0" fillId="10" borderId="0" xfId="0" applyNumberFormat="1" applyFill="1" applyAlignment="1">
      <alignment horizontal="right"/>
    </xf>
    <xf numFmtId="0" fontId="8" fillId="0" borderId="0" xfId="1" applyFill="1"/>
    <xf numFmtId="0" fontId="8" fillId="9" borderId="0" xfId="1" applyFill="1"/>
    <xf numFmtId="49" fontId="0" fillId="4" borderId="0" xfId="0" applyNumberFormat="1" applyFill="1" applyAlignment="1">
      <alignment horizontal="right"/>
    </xf>
    <xf numFmtId="3" fontId="0" fillId="4" borderId="0" xfId="0" applyNumberFormat="1" applyFill="1"/>
    <xf numFmtId="175" fontId="0" fillId="4" borderId="0" xfId="0" applyNumberFormat="1" applyFill="1"/>
    <xf numFmtId="169" fontId="10" fillId="0" borderId="12" xfId="0" applyNumberFormat="1" applyFont="1" applyBorder="1"/>
    <xf numFmtId="49" fontId="10" fillId="2" borderId="12" xfId="0" applyNumberFormat="1" applyFont="1" applyFill="1" applyBorder="1" applyAlignment="1">
      <alignment horizontal="right"/>
    </xf>
    <xf numFmtId="45" fontId="10" fillId="0" borderId="12" xfId="0" applyNumberFormat="1" applyFont="1" applyBorder="1"/>
    <xf numFmtId="168" fontId="10" fillId="0" borderId="12" xfId="0" applyNumberFormat="1" applyFont="1" applyBorder="1"/>
    <xf numFmtId="0" fontId="10" fillId="0" borderId="0" xfId="0" applyFont="1" applyAlignment="1">
      <alignment horizontal="right"/>
    </xf>
    <xf numFmtId="3" fontId="10" fillId="0" borderId="0" xfId="0" applyNumberFormat="1" applyFont="1"/>
    <xf numFmtId="4" fontId="10" fillId="0" borderId="0" xfId="0" applyNumberFormat="1" applyFont="1"/>
    <xf numFmtId="0" fontId="10" fillId="0" borderId="0" xfId="0" applyFont="1"/>
    <xf numFmtId="0" fontId="0" fillId="11" borderId="0" xfId="0" applyFill="1"/>
    <xf numFmtId="8" fontId="0" fillId="0" borderId="0" xfId="0" applyNumberFormat="1"/>
    <xf numFmtId="8" fontId="2" fillId="0" borderId="0" xfId="0" applyNumberFormat="1" applyFont="1"/>
    <xf numFmtId="8" fontId="0" fillId="4" borderId="0" xfId="0" applyNumberFormat="1" applyFill="1"/>
    <xf numFmtId="0" fontId="0" fillId="0" borderId="7" xfId="0" applyBorder="1"/>
    <xf numFmtId="14" fontId="0" fillId="0" borderId="7" xfId="0" applyNumberFormat="1" applyBorder="1"/>
    <xf numFmtId="8" fontId="0" fillId="0" borderId="7" xfId="0" applyNumberFormat="1" applyBorder="1"/>
    <xf numFmtId="49" fontId="0" fillId="0" borderId="7" xfId="0" applyNumberFormat="1" applyBorder="1" applyAlignment="1">
      <alignment horizontal="right"/>
    </xf>
    <xf numFmtId="3" fontId="0" fillId="0" borderId="7" xfId="0" applyNumberFormat="1" applyBorder="1"/>
    <xf numFmtId="175" fontId="0" fillId="0" borderId="7" xfId="0" applyNumberFormat="1" applyBorder="1"/>
    <xf numFmtId="0" fontId="0" fillId="2" borderId="7" xfId="0" applyFill="1" applyBorder="1"/>
    <xf numFmtId="0" fontId="11" fillId="0" borderId="0" xfId="2"/>
    <xf numFmtId="0" fontId="11" fillId="8" borderId="0" xfId="2" applyFill="1"/>
    <xf numFmtId="0" fontId="11" fillId="2" borderId="0" xfId="2" applyFill="1"/>
    <xf numFmtId="49" fontId="11" fillId="0" borderId="0" xfId="2" applyNumberFormat="1"/>
    <xf numFmtId="2" fontId="11" fillId="0" borderId="0" xfId="2" applyNumberFormat="1"/>
    <xf numFmtId="0" fontId="12" fillId="0" borderId="0" xfId="2" applyFont="1"/>
    <xf numFmtId="0" fontId="12" fillId="8" borderId="0" xfId="2" applyFont="1" applyFill="1" applyAlignment="1">
      <alignment wrapText="1"/>
    </xf>
    <xf numFmtId="0" fontId="12" fillId="0" borderId="0" xfId="2" applyFont="1" applyAlignment="1">
      <alignment wrapText="1"/>
    </xf>
    <xf numFmtId="0" fontId="11" fillId="12" borderId="0" xfId="2" applyFill="1"/>
    <xf numFmtId="0" fontId="11" fillId="5" borderId="0" xfId="2" applyFill="1"/>
    <xf numFmtId="0" fontId="11" fillId="3" borderId="0" xfId="2" applyFill="1"/>
    <xf numFmtId="0" fontId="13" fillId="12" borderId="0" xfId="2" applyFont="1" applyFill="1"/>
    <xf numFmtId="0" fontId="11" fillId="4" borderId="0" xfId="2" applyFill="1"/>
    <xf numFmtId="0" fontId="11" fillId="6" borderId="0" xfId="2" applyFill="1"/>
  </cellXfs>
  <cellStyles count="3">
    <cellStyle name="Hyperlink" xfId="1" builtinId="8"/>
    <cellStyle name="Normal" xfId="0" builtinId="0"/>
    <cellStyle name="Normal 2" xfId="2" xr:uid="{B30C6D39-0C86-4814-BAB6-A033051B6CAF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vents.nyrr.org/achilles-hope-possibility-4m-presented-by-td-bank?_gl=1*1i5yr29*_gcl_aw*R0NMLjE3Njg5MjM3MzIuQ2p3S0NBaUE3THpMQmhBZ0Vpd0FqTVd6Q0xNT09TUXpLR0lXdFlLRE40d3RtWEhzblAyWlBONUtLQTF3VGVwWmdWd1FCQjc1VUxpTkFSb0N5YllRQXZEX0J3RQ..*_gcl_au*MTk0OTk1MTE1OC4xNzY1NDc2MjU2" TargetMode="External"/><Relationship Id="rId2" Type="http://schemas.openxmlformats.org/officeDocument/2006/relationships/hyperlink" Target="https://events.nyrr.org/nyrr-queens-10k?_gl=1*7wzk71*_gcl_aw*R0NMLjE3Njg5MjM3MzIuQ2p3S0NBaUE3THpMQmhBZ0Vpd0FqTVd6Q0xNT09TUXpLR0lXdFlLRE40d3RtWEhzblAyWlBONUtLQTF3VGVwWmdWd1FCQjc1VUxpTkFSb0N5YllRQXZEX0J3RQ..*_gcl_au*MTk0OTk1MTE1OC4xNzY1NDc2MjU2" TargetMode="External"/><Relationship Id="rId1" Type="http://schemas.openxmlformats.org/officeDocument/2006/relationships/hyperlink" Target="https://events.nyrr.org/nyrr-mindful-5k?_gl=1*7wzk71*_gcl_aw*R0NMLjE3Njg5MjM3MzIuQ2p3S0NBaUE3THpMQmhBZ0Vpd0FqTVd6Q0xNT09TUXpLR0lXdFlLRE40d3RtWEhzblAyWlBONUtLQTF3VGVwWmdWd1FCQjc1VUxpTkFSb0N5YllRQXZEX0J3RQ..*_gcl_au*MTk0OTk1MTE1OC4xNzY1NDc2MjU2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www.forbes.com/sites/forbestravelguide/2026/01/18/12-marathons-worth-traveling-for-in-2026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56F9-CF90-4B8D-A307-09ABC7F95197}">
  <dimension ref="A2:T139"/>
  <sheetViews>
    <sheetView showGridLines="0" workbookViewId="0">
      <pane ySplit="3" topLeftCell="A103" activePane="bottomLeft" state="frozen"/>
      <selection pane="bottomLeft" activeCell="Q122" sqref="Q122"/>
    </sheetView>
  </sheetViews>
  <sheetFormatPr defaultRowHeight="15" outlineLevelCol="1" x14ac:dyDescent="0.25"/>
  <cols>
    <col min="1" max="1" width="2.7109375" customWidth="1"/>
    <col min="2" max="2" width="10" bestFit="1" customWidth="1"/>
    <col min="3" max="3" width="9.140625" hidden="1" customWidth="1" outlineLevel="1"/>
    <col min="4" max="4" width="41.42578125" bestFit="1" customWidth="1" collapsed="1"/>
    <col min="5" max="5" width="18.28515625" bestFit="1" customWidth="1"/>
    <col min="6" max="6" width="20.140625" bestFit="1" customWidth="1"/>
    <col min="7" max="7" width="18.42578125" bestFit="1" customWidth="1"/>
    <col min="8" max="8" width="18.42578125" style="119" hidden="1" customWidth="1" outlineLevel="1"/>
    <col min="9" max="9" width="8.28515625" bestFit="1" customWidth="1" collapsed="1"/>
    <col min="10" max="10" width="8.28515625" style="152" bestFit="1" customWidth="1"/>
    <col min="11" max="11" width="12.5703125" style="28" hidden="1" customWidth="1" outlineLevel="1"/>
    <col min="12" max="12" width="9.28515625" hidden="1" customWidth="1" outlineLevel="1"/>
    <col min="13" max="13" width="9.28515625" style="2" hidden="1" customWidth="1" outlineLevel="1"/>
    <col min="14" max="14" width="10.28515625" style="126" bestFit="1" customWidth="1" collapsed="1"/>
  </cols>
  <sheetData>
    <row r="2" spans="2:20" x14ac:dyDescent="0.25">
      <c r="N2" s="125" t="s">
        <v>583</v>
      </c>
      <c r="P2" s="4" t="s">
        <v>599</v>
      </c>
      <c r="Q2" s="4"/>
      <c r="R2" s="4"/>
      <c r="S2" s="4"/>
      <c r="T2" s="4"/>
    </row>
    <row r="3" spans="2:20" s="4" customFormat="1" x14ac:dyDescent="0.25">
      <c r="B3" s="4" t="s">
        <v>373</v>
      </c>
      <c r="C3" s="4" t="s">
        <v>557</v>
      </c>
      <c r="D3" s="4" t="s">
        <v>274</v>
      </c>
      <c r="E3" s="4" t="s">
        <v>275</v>
      </c>
      <c r="F3" s="4" t="s">
        <v>276</v>
      </c>
      <c r="G3" s="4" t="s">
        <v>323</v>
      </c>
      <c r="H3" s="123"/>
      <c r="I3" s="4" t="s">
        <v>222</v>
      </c>
      <c r="J3" s="153" t="s">
        <v>607</v>
      </c>
      <c r="K3" s="4" t="s">
        <v>558</v>
      </c>
      <c r="L3" s="4" t="s">
        <v>277</v>
      </c>
      <c r="M3" s="66" t="s">
        <v>679</v>
      </c>
      <c r="N3" s="125" t="s">
        <v>586</v>
      </c>
      <c r="O3" s="4" t="s">
        <v>587</v>
      </c>
      <c r="P3" s="4" t="s">
        <v>600</v>
      </c>
      <c r="Q3" s="4" t="s">
        <v>601</v>
      </c>
      <c r="R3" s="4" t="s">
        <v>681</v>
      </c>
    </row>
    <row r="4" spans="2:20" x14ac:dyDescent="0.25">
      <c r="B4" s="39" t="s">
        <v>375</v>
      </c>
      <c r="C4" s="39">
        <v>1</v>
      </c>
      <c r="D4" s="39" t="s">
        <v>315</v>
      </c>
      <c r="E4" s="39" t="s">
        <v>316</v>
      </c>
      <c r="F4" s="39" t="s">
        <v>297</v>
      </c>
      <c r="G4" s="39" t="s">
        <v>317</v>
      </c>
      <c r="H4" s="118"/>
      <c r="I4" s="39" t="s">
        <v>200</v>
      </c>
      <c r="K4" s="28">
        <v>2</v>
      </c>
      <c r="L4">
        <v>1981</v>
      </c>
    </row>
    <row r="5" spans="2:20" x14ac:dyDescent="0.25">
      <c r="B5" s="41" t="s">
        <v>375</v>
      </c>
      <c r="C5">
        <v>1</v>
      </c>
      <c r="D5" s="41" t="s">
        <v>286</v>
      </c>
      <c r="E5" s="41" t="s">
        <v>287</v>
      </c>
      <c r="F5" s="41" t="s">
        <v>288</v>
      </c>
      <c r="G5" s="41" t="s">
        <v>289</v>
      </c>
      <c r="H5" s="124"/>
      <c r="I5" s="41" t="s">
        <v>200</v>
      </c>
      <c r="K5" s="28">
        <v>4</v>
      </c>
      <c r="L5">
        <v>1897</v>
      </c>
    </row>
    <row r="6" spans="2:20" x14ac:dyDescent="0.25">
      <c r="B6" s="41" t="s">
        <v>375</v>
      </c>
      <c r="C6">
        <v>1</v>
      </c>
      <c r="D6" s="41" t="s">
        <v>292</v>
      </c>
      <c r="E6" s="41" t="s">
        <v>293</v>
      </c>
      <c r="F6" s="41" t="s">
        <v>294</v>
      </c>
      <c r="G6" s="41" t="s">
        <v>289</v>
      </c>
      <c r="H6" s="124"/>
      <c r="I6" s="41" t="s">
        <v>200</v>
      </c>
      <c r="K6" s="28">
        <v>4</v>
      </c>
      <c r="L6">
        <v>1981</v>
      </c>
    </row>
    <row r="7" spans="2:20" x14ac:dyDescent="0.25">
      <c r="B7" s="41" t="s">
        <v>375</v>
      </c>
      <c r="C7" s="41">
        <v>1</v>
      </c>
      <c r="D7" s="41" t="s">
        <v>282</v>
      </c>
      <c r="E7" s="41" t="s">
        <v>283</v>
      </c>
      <c r="F7" s="41" t="s">
        <v>284</v>
      </c>
      <c r="G7" s="41" t="s">
        <v>285</v>
      </c>
      <c r="H7" s="124"/>
      <c r="I7" s="41" t="s">
        <v>200</v>
      </c>
      <c r="K7" s="28" t="s">
        <v>564</v>
      </c>
      <c r="L7">
        <v>1974</v>
      </c>
    </row>
    <row r="8" spans="2:20" x14ac:dyDescent="0.25">
      <c r="B8" t="s">
        <v>375</v>
      </c>
      <c r="C8">
        <v>1</v>
      </c>
      <c r="D8" t="s">
        <v>312</v>
      </c>
      <c r="E8" t="s">
        <v>313</v>
      </c>
      <c r="F8" t="s">
        <v>314</v>
      </c>
      <c r="G8" t="s">
        <v>285</v>
      </c>
      <c r="I8" t="s">
        <v>200</v>
      </c>
      <c r="K8" s="28" t="s">
        <v>564</v>
      </c>
      <c r="L8">
        <v>2001</v>
      </c>
    </row>
    <row r="9" spans="2:20" x14ac:dyDescent="0.25">
      <c r="B9" s="39" t="s">
        <v>375</v>
      </c>
      <c r="C9" s="39">
        <v>1</v>
      </c>
      <c r="D9" s="39" t="s">
        <v>290</v>
      </c>
      <c r="E9" s="39" t="s">
        <v>291</v>
      </c>
      <c r="F9" s="39" t="s">
        <v>288</v>
      </c>
      <c r="G9" s="39" t="s">
        <v>281</v>
      </c>
      <c r="H9" s="118">
        <v>46306</v>
      </c>
      <c r="I9" s="39" t="s">
        <v>200</v>
      </c>
      <c r="K9" s="28" t="s">
        <v>562</v>
      </c>
      <c r="L9">
        <v>1977</v>
      </c>
    </row>
    <row r="10" spans="2:20" x14ac:dyDescent="0.25">
      <c r="B10" s="39" t="s">
        <v>375</v>
      </c>
      <c r="C10" s="39">
        <v>1</v>
      </c>
      <c r="D10" s="39" t="s">
        <v>299</v>
      </c>
      <c r="E10" s="39" t="s">
        <v>300</v>
      </c>
      <c r="F10" s="39" t="s">
        <v>288</v>
      </c>
      <c r="G10" s="39" t="s">
        <v>301</v>
      </c>
      <c r="H10" s="118">
        <v>46327</v>
      </c>
      <c r="I10" s="39" t="s">
        <v>200</v>
      </c>
      <c r="K10" s="28" t="s">
        <v>561</v>
      </c>
      <c r="L10">
        <v>1970</v>
      </c>
      <c r="N10" s="126" t="s">
        <v>585</v>
      </c>
    </row>
    <row r="11" spans="2:20" x14ac:dyDescent="0.25">
      <c r="B11" t="s">
        <v>374</v>
      </c>
      <c r="C11">
        <v>2</v>
      </c>
      <c r="D11" t="s">
        <v>302</v>
      </c>
      <c r="E11" t="s">
        <v>303</v>
      </c>
      <c r="F11" t="s">
        <v>297</v>
      </c>
      <c r="G11" t="s">
        <v>304</v>
      </c>
      <c r="I11" t="s">
        <v>200</v>
      </c>
      <c r="K11" s="28">
        <v>1</v>
      </c>
      <c r="L11">
        <v>1982</v>
      </c>
    </row>
    <row r="12" spans="2:20" x14ac:dyDescent="0.25">
      <c r="B12" t="s">
        <v>374</v>
      </c>
      <c r="C12">
        <v>2</v>
      </c>
      <c r="D12" t="s">
        <v>321</v>
      </c>
      <c r="E12" t="s">
        <v>322</v>
      </c>
      <c r="F12" t="s">
        <v>310</v>
      </c>
      <c r="G12" t="s">
        <v>304</v>
      </c>
      <c r="I12" t="s">
        <v>200</v>
      </c>
      <c r="K12" s="28">
        <v>1</v>
      </c>
      <c r="L12">
        <v>2003</v>
      </c>
    </row>
    <row r="13" spans="2:20" x14ac:dyDescent="0.25">
      <c r="B13" t="s">
        <v>374</v>
      </c>
      <c r="C13">
        <v>2</v>
      </c>
      <c r="D13" t="s">
        <v>295</v>
      </c>
      <c r="E13" t="s">
        <v>296</v>
      </c>
      <c r="F13" t="s">
        <v>297</v>
      </c>
      <c r="G13" t="s">
        <v>298</v>
      </c>
      <c r="I13" t="s">
        <v>200</v>
      </c>
      <c r="K13" s="28">
        <v>3</v>
      </c>
      <c r="L13">
        <v>1980</v>
      </c>
    </row>
    <row r="14" spans="2:20" x14ac:dyDescent="0.25">
      <c r="B14" s="39" t="s">
        <v>374</v>
      </c>
      <c r="C14" s="39">
        <v>2</v>
      </c>
      <c r="D14" s="39" t="s">
        <v>305</v>
      </c>
      <c r="E14" s="39" t="s">
        <v>306</v>
      </c>
      <c r="F14" s="39" t="s">
        <v>307</v>
      </c>
      <c r="G14" s="39" t="s">
        <v>298</v>
      </c>
      <c r="H14" s="118"/>
      <c r="I14" s="39" t="s">
        <v>200</v>
      </c>
      <c r="K14" s="28">
        <v>3</v>
      </c>
      <c r="L14">
        <v>1931</v>
      </c>
    </row>
    <row r="15" spans="2:20" x14ac:dyDescent="0.25">
      <c r="B15" s="40" t="s">
        <v>374</v>
      </c>
      <c r="C15" s="40">
        <v>2</v>
      </c>
      <c r="D15" s="40" t="s">
        <v>278</v>
      </c>
      <c r="E15" s="40" t="s">
        <v>279</v>
      </c>
      <c r="F15" s="40" t="s">
        <v>280</v>
      </c>
      <c r="G15" s="40" t="s">
        <v>281</v>
      </c>
      <c r="H15" s="122"/>
      <c r="I15" s="40" t="s">
        <v>200</v>
      </c>
      <c r="K15" s="28" t="s">
        <v>562</v>
      </c>
      <c r="L15">
        <v>1975</v>
      </c>
    </row>
    <row r="16" spans="2:20" x14ac:dyDescent="0.25">
      <c r="B16" t="s">
        <v>374</v>
      </c>
      <c r="C16">
        <v>2</v>
      </c>
      <c r="D16" t="s">
        <v>308</v>
      </c>
      <c r="E16" t="s">
        <v>309</v>
      </c>
      <c r="F16" t="s">
        <v>310</v>
      </c>
      <c r="G16" t="s">
        <v>311</v>
      </c>
      <c r="I16" t="s">
        <v>200</v>
      </c>
      <c r="K16" s="28">
        <v>12</v>
      </c>
      <c r="L16">
        <v>2000</v>
      </c>
    </row>
    <row r="17" spans="2:12" x14ac:dyDescent="0.25">
      <c r="B17" s="41" t="s">
        <v>374</v>
      </c>
      <c r="C17" s="41">
        <v>2</v>
      </c>
      <c r="D17" s="41" t="s">
        <v>318</v>
      </c>
      <c r="E17" s="41" t="s">
        <v>319</v>
      </c>
      <c r="F17" s="41" t="s">
        <v>320</v>
      </c>
      <c r="G17" s="41" t="s">
        <v>311</v>
      </c>
      <c r="H17" s="124"/>
      <c r="I17" s="41" t="s">
        <v>200</v>
      </c>
      <c r="K17" s="28">
        <v>12</v>
      </c>
      <c r="L17">
        <v>1981</v>
      </c>
    </row>
    <row r="18" spans="2:12" x14ac:dyDescent="0.25">
      <c r="B18" s="41" t="s">
        <v>372</v>
      </c>
      <c r="C18" s="41">
        <v>3</v>
      </c>
      <c r="D18" s="41" t="s">
        <v>328</v>
      </c>
      <c r="E18" s="41" t="s">
        <v>329</v>
      </c>
      <c r="F18" s="41" t="s">
        <v>330</v>
      </c>
      <c r="G18" s="41" t="s">
        <v>304</v>
      </c>
      <c r="H18" s="124"/>
      <c r="I18" s="41" t="s">
        <v>200</v>
      </c>
      <c r="K18" s="28">
        <v>1</v>
      </c>
      <c r="L18">
        <v>2017</v>
      </c>
    </row>
    <row r="19" spans="2:12" x14ac:dyDescent="0.25">
      <c r="B19" t="s">
        <v>372</v>
      </c>
      <c r="C19">
        <v>3</v>
      </c>
      <c r="D19" t="s">
        <v>333</v>
      </c>
      <c r="E19" t="s">
        <v>334</v>
      </c>
      <c r="F19" t="s">
        <v>335</v>
      </c>
      <c r="G19" t="s">
        <v>304</v>
      </c>
      <c r="I19" t="s">
        <v>200</v>
      </c>
      <c r="K19" s="28">
        <v>1</v>
      </c>
      <c r="L19">
        <v>2013</v>
      </c>
    </row>
    <row r="20" spans="2:12" x14ac:dyDescent="0.25">
      <c r="B20" s="40" t="s">
        <v>372</v>
      </c>
      <c r="C20" s="40">
        <v>3</v>
      </c>
      <c r="D20" s="40" t="s">
        <v>343</v>
      </c>
      <c r="E20" s="40" t="s">
        <v>344</v>
      </c>
      <c r="F20" s="40" t="s">
        <v>288</v>
      </c>
      <c r="G20" s="40" t="s">
        <v>304</v>
      </c>
      <c r="H20" s="122"/>
      <c r="I20" s="40" t="s">
        <v>200</v>
      </c>
      <c r="K20" s="28">
        <v>1</v>
      </c>
      <c r="L20">
        <v>1972</v>
      </c>
    </row>
    <row r="21" spans="2:12" x14ac:dyDescent="0.25">
      <c r="B21" t="s">
        <v>372</v>
      </c>
      <c r="C21">
        <v>3</v>
      </c>
      <c r="D21" t="s">
        <v>348</v>
      </c>
      <c r="E21" t="s">
        <v>349</v>
      </c>
      <c r="F21" t="s">
        <v>350</v>
      </c>
      <c r="G21" t="s">
        <v>304</v>
      </c>
      <c r="I21" t="s">
        <v>200</v>
      </c>
      <c r="K21" s="28">
        <v>1</v>
      </c>
      <c r="L21">
        <v>2016</v>
      </c>
    </row>
    <row r="22" spans="2:12" x14ac:dyDescent="0.25">
      <c r="B22" t="s">
        <v>372</v>
      </c>
      <c r="C22">
        <v>3</v>
      </c>
      <c r="D22" t="s">
        <v>358</v>
      </c>
      <c r="E22" t="s">
        <v>359</v>
      </c>
      <c r="F22" t="s">
        <v>360</v>
      </c>
      <c r="G22" t="s">
        <v>304</v>
      </c>
      <c r="I22" t="s">
        <v>200</v>
      </c>
      <c r="K22" s="28">
        <v>1</v>
      </c>
      <c r="L22">
        <v>2004</v>
      </c>
    </row>
    <row r="23" spans="2:12" x14ac:dyDescent="0.25">
      <c r="B23" s="41" t="s">
        <v>372</v>
      </c>
      <c r="C23" s="41">
        <v>3</v>
      </c>
      <c r="D23" s="41" t="s">
        <v>340</v>
      </c>
      <c r="E23" s="41" t="s">
        <v>341</v>
      </c>
      <c r="F23" s="41" t="s">
        <v>342</v>
      </c>
      <c r="G23" s="41" t="s">
        <v>317</v>
      </c>
      <c r="H23" s="124"/>
      <c r="I23" s="41" t="s">
        <v>200</v>
      </c>
      <c r="K23" s="28">
        <v>2</v>
      </c>
      <c r="L23">
        <v>1997</v>
      </c>
    </row>
    <row r="24" spans="2:12" x14ac:dyDescent="0.25">
      <c r="B24" s="40" t="s">
        <v>372</v>
      </c>
      <c r="C24" s="40">
        <v>3</v>
      </c>
      <c r="D24" s="40" t="s">
        <v>364</v>
      </c>
      <c r="E24" s="40" t="s">
        <v>303</v>
      </c>
      <c r="F24" s="40" t="s">
        <v>297</v>
      </c>
      <c r="G24" s="40" t="s">
        <v>317</v>
      </c>
      <c r="H24" s="122"/>
      <c r="I24" s="40" t="s">
        <v>200</v>
      </c>
      <c r="K24" s="28">
        <v>2</v>
      </c>
      <c r="L24">
        <v>2011</v>
      </c>
    </row>
    <row r="25" spans="2:12" x14ac:dyDescent="0.25">
      <c r="B25" s="41" t="s">
        <v>372</v>
      </c>
      <c r="C25" s="41">
        <v>3</v>
      </c>
      <c r="D25" s="41" t="s">
        <v>324</v>
      </c>
      <c r="E25" s="41" t="s">
        <v>325</v>
      </c>
      <c r="F25" s="41" t="s">
        <v>320</v>
      </c>
      <c r="G25" s="41" t="s">
        <v>298</v>
      </c>
      <c r="H25" s="124"/>
      <c r="I25" s="41" t="s">
        <v>200</v>
      </c>
      <c r="K25" s="28">
        <v>3</v>
      </c>
      <c r="L25">
        <v>1978</v>
      </c>
    </row>
    <row r="26" spans="2:12" x14ac:dyDescent="0.25">
      <c r="B26" s="41" t="s">
        <v>372</v>
      </c>
      <c r="C26" s="41">
        <v>3</v>
      </c>
      <c r="D26" s="41" t="s">
        <v>361</v>
      </c>
      <c r="E26" s="41" t="s">
        <v>362</v>
      </c>
      <c r="F26" s="41" t="s">
        <v>363</v>
      </c>
      <c r="G26" s="41" t="s">
        <v>298</v>
      </c>
      <c r="H26" s="124"/>
      <c r="I26" s="41" t="s">
        <v>200</v>
      </c>
      <c r="K26" s="28">
        <v>3</v>
      </c>
      <c r="L26">
        <v>1979</v>
      </c>
    </row>
    <row r="27" spans="2:12" x14ac:dyDescent="0.25">
      <c r="B27" s="40" t="s">
        <v>372</v>
      </c>
      <c r="C27">
        <v>3</v>
      </c>
      <c r="D27" s="40" t="s">
        <v>331</v>
      </c>
      <c r="E27" s="40" t="s">
        <v>332</v>
      </c>
      <c r="F27" s="40" t="s">
        <v>307</v>
      </c>
      <c r="G27" s="40" t="s">
        <v>289</v>
      </c>
      <c r="H27" s="122"/>
      <c r="I27" s="40" t="s">
        <v>200</v>
      </c>
      <c r="K27" s="28">
        <v>4</v>
      </c>
      <c r="L27">
        <v>2009</v>
      </c>
    </row>
    <row r="28" spans="2:12" x14ac:dyDescent="0.25">
      <c r="B28" s="40" t="s">
        <v>372</v>
      </c>
      <c r="C28" s="40">
        <v>3</v>
      </c>
      <c r="D28" s="40" t="s">
        <v>365</v>
      </c>
      <c r="E28" s="40" t="s">
        <v>366</v>
      </c>
      <c r="F28" s="40" t="s">
        <v>280</v>
      </c>
      <c r="G28" s="40" t="s">
        <v>289</v>
      </c>
      <c r="H28" s="122"/>
      <c r="I28" s="40" t="s">
        <v>200</v>
      </c>
      <c r="K28" s="28">
        <v>4</v>
      </c>
      <c r="L28">
        <v>1981</v>
      </c>
    </row>
    <row r="29" spans="2:12" x14ac:dyDescent="0.25">
      <c r="B29" t="s">
        <v>372</v>
      </c>
      <c r="C29">
        <v>3</v>
      </c>
      <c r="D29" t="s">
        <v>354</v>
      </c>
      <c r="E29" t="s">
        <v>355</v>
      </c>
      <c r="F29" t="s">
        <v>356</v>
      </c>
      <c r="G29" t="s">
        <v>357</v>
      </c>
      <c r="I29" t="s">
        <v>200</v>
      </c>
      <c r="K29" s="28">
        <v>8</v>
      </c>
      <c r="L29">
        <v>1983</v>
      </c>
    </row>
    <row r="30" spans="2:12" x14ac:dyDescent="0.25">
      <c r="B30" t="s">
        <v>372</v>
      </c>
      <c r="C30">
        <v>3</v>
      </c>
      <c r="D30" t="s">
        <v>326</v>
      </c>
      <c r="E30" t="s">
        <v>327</v>
      </c>
      <c r="F30" t="s">
        <v>310</v>
      </c>
      <c r="G30" t="s">
        <v>281</v>
      </c>
      <c r="I30" t="s">
        <v>200</v>
      </c>
      <c r="K30" s="28" t="s">
        <v>562</v>
      </c>
      <c r="L30">
        <v>1981</v>
      </c>
    </row>
    <row r="31" spans="2:12" x14ac:dyDescent="0.25">
      <c r="B31" t="s">
        <v>372</v>
      </c>
      <c r="C31">
        <v>3</v>
      </c>
      <c r="D31" t="s">
        <v>351</v>
      </c>
      <c r="E31" t="s">
        <v>352</v>
      </c>
      <c r="F31" t="s">
        <v>353</v>
      </c>
      <c r="G31" t="s">
        <v>281</v>
      </c>
      <c r="I31" t="s">
        <v>200</v>
      </c>
      <c r="K31" s="28" t="s">
        <v>562</v>
      </c>
      <c r="L31">
        <v>1996</v>
      </c>
    </row>
    <row r="32" spans="2:12" x14ac:dyDescent="0.25">
      <c r="B32" t="s">
        <v>372</v>
      </c>
      <c r="C32">
        <v>3</v>
      </c>
      <c r="D32" t="s">
        <v>338</v>
      </c>
      <c r="E32" t="s">
        <v>339</v>
      </c>
      <c r="F32" t="s">
        <v>310</v>
      </c>
      <c r="G32" t="s">
        <v>301</v>
      </c>
      <c r="I32" t="s">
        <v>200</v>
      </c>
      <c r="K32" s="28" t="s">
        <v>561</v>
      </c>
      <c r="L32">
        <v>1987</v>
      </c>
    </row>
    <row r="33" spans="2:12" x14ac:dyDescent="0.25">
      <c r="B33" s="41" t="s">
        <v>372</v>
      </c>
      <c r="C33">
        <v>3</v>
      </c>
      <c r="D33" s="41" t="s">
        <v>345</v>
      </c>
      <c r="E33" s="41" t="s">
        <v>346</v>
      </c>
      <c r="F33" s="41" t="s">
        <v>347</v>
      </c>
      <c r="G33" s="41" t="s">
        <v>301</v>
      </c>
      <c r="H33" s="124"/>
      <c r="I33" s="41" t="s">
        <v>200</v>
      </c>
      <c r="K33" s="28" t="s">
        <v>561</v>
      </c>
      <c r="L33">
        <v>1979</v>
      </c>
    </row>
    <row r="34" spans="2:12" x14ac:dyDescent="0.25">
      <c r="B34" t="s">
        <v>372</v>
      </c>
      <c r="C34">
        <v>3</v>
      </c>
      <c r="D34" t="s">
        <v>336</v>
      </c>
      <c r="E34" t="s">
        <v>337</v>
      </c>
      <c r="F34" t="s">
        <v>310</v>
      </c>
      <c r="G34" t="s">
        <v>311</v>
      </c>
      <c r="I34" t="s">
        <v>200</v>
      </c>
      <c r="K34" s="28">
        <v>12</v>
      </c>
      <c r="L34">
        <v>2012</v>
      </c>
    </row>
    <row r="35" spans="2:12" x14ac:dyDescent="0.25">
      <c r="B35" s="41" t="s">
        <v>372</v>
      </c>
      <c r="C35" s="41">
        <v>3</v>
      </c>
      <c r="D35" s="41" t="s">
        <v>367</v>
      </c>
      <c r="E35" s="41" t="s">
        <v>368</v>
      </c>
      <c r="F35" s="41" t="s">
        <v>369</v>
      </c>
      <c r="G35" s="41" t="s">
        <v>311</v>
      </c>
      <c r="H35" s="124"/>
      <c r="I35" s="41" t="s">
        <v>200</v>
      </c>
      <c r="K35" s="28">
        <v>12</v>
      </c>
      <c r="L35">
        <v>1982</v>
      </c>
    </row>
    <row r="36" spans="2:12" x14ac:dyDescent="0.25">
      <c r="B36" s="41" t="s">
        <v>372</v>
      </c>
      <c r="C36" s="41">
        <v>3</v>
      </c>
      <c r="D36" s="41" t="s">
        <v>370</v>
      </c>
      <c r="E36" s="41" t="s">
        <v>371</v>
      </c>
      <c r="F36" s="41" t="s">
        <v>363</v>
      </c>
      <c r="G36" s="41" t="s">
        <v>311</v>
      </c>
      <c r="H36" s="124"/>
      <c r="I36" s="41" t="s">
        <v>200</v>
      </c>
      <c r="K36" s="28">
        <v>12</v>
      </c>
      <c r="L36">
        <v>2002</v>
      </c>
    </row>
    <row r="37" spans="2:12" x14ac:dyDescent="0.25">
      <c r="B37" s="41" t="s">
        <v>555</v>
      </c>
      <c r="C37" s="41">
        <v>4</v>
      </c>
      <c r="D37" s="41" t="s">
        <v>397</v>
      </c>
      <c r="E37" s="41" t="s">
        <v>549</v>
      </c>
      <c r="F37" s="41" t="s">
        <v>297</v>
      </c>
      <c r="G37" s="41" t="s">
        <v>317</v>
      </c>
      <c r="H37" s="124"/>
      <c r="I37" s="41" t="s">
        <v>200</v>
      </c>
      <c r="K37" s="28">
        <v>2</v>
      </c>
      <c r="L37">
        <v>1952</v>
      </c>
    </row>
    <row r="38" spans="2:12" x14ac:dyDescent="0.25">
      <c r="B38" t="s">
        <v>555</v>
      </c>
      <c r="C38">
        <v>4</v>
      </c>
      <c r="D38" t="s">
        <v>514</v>
      </c>
      <c r="E38" t="s">
        <v>515</v>
      </c>
      <c r="F38" t="s">
        <v>320</v>
      </c>
      <c r="G38" t="s">
        <v>317</v>
      </c>
      <c r="I38" t="s">
        <v>200</v>
      </c>
      <c r="K38" s="28">
        <v>2</v>
      </c>
      <c r="L38">
        <v>1985</v>
      </c>
    </row>
    <row r="39" spans="2:12" x14ac:dyDescent="0.25">
      <c r="B39" t="s">
        <v>555</v>
      </c>
      <c r="C39">
        <v>4</v>
      </c>
      <c r="D39" t="s">
        <v>504</v>
      </c>
      <c r="E39" t="s">
        <v>505</v>
      </c>
      <c r="F39" t="s">
        <v>553</v>
      </c>
      <c r="G39" t="s">
        <v>506</v>
      </c>
      <c r="I39" t="s">
        <v>200</v>
      </c>
      <c r="K39" s="28" t="s">
        <v>559</v>
      </c>
      <c r="L39">
        <v>2022</v>
      </c>
    </row>
    <row r="40" spans="2:12" x14ac:dyDescent="0.25">
      <c r="B40" s="41" t="s">
        <v>555</v>
      </c>
      <c r="C40">
        <v>4</v>
      </c>
      <c r="D40" s="41" t="s">
        <v>422</v>
      </c>
      <c r="E40" s="41" t="s">
        <v>423</v>
      </c>
      <c r="F40" s="41" t="s">
        <v>280</v>
      </c>
      <c r="G40" s="41" t="s">
        <v>289</v>
      </c>
      <c r="H40" s="124"/>
      <c r="I40" s="41" t="s">
        <v>200</v>
      </c>
      <c r="K40" s="28">
        <v>4</v>
      </c>
      <c r="L40">
        <v>1991</v>
      </c>
    </row>
    <row r="41" spans="2:12" x14ac:dyDescent="0.25">
      <c r="B41" s="41" t="s">
        <v>555</v>
      </c>
      <c r="C41" s="41">
        <v>4</v>
      </c>
      <c r="D41" s="41" t="s">
        <v>488</v>
      </c>
      <c r="E41" s="41" t="s">
        <v>489</v>
      </c>
      <c r="F41" s="41" t="s">
        <v>490</v>
      </c>
      <c r="G41" s="41" t="s">
        <v>289</v>
      </c>
      <c r="H41" s="124"/>
      <c r="I41" s="41" t="s">
        <v>200</v>
      </c>
      <c r="K41" s="28">
        <v>4</v>
      </c>
      <c r="L41">
        <v>1976</v>
      </c>
    </row>
    <row r="42" spans="2:12" x14ac:dyDescent="0.25">
      <c r="B42" s="41" t="s">
        <v>555</v>
      </c>
      <c r="C42" s="41">
        <v>4</v>
      </c>
      <c r="D42" s="41" t="s">
        <v>510</v>
      </c>
      <c r="E42" s="41" t="s">
        <v>511</v>
      </c>
      <c r="F42" s="41" t="s">
        <v>479</v>
      </c>
      <c r="G42" s="41" t="s">
        <v>289</v>
      </c>
      <c r="H42" s="124"/>
      <c r="I42" s="41" t="s">
        <v>200</v>
      </c>
      <c r="K42" s="28">
        <v>4</v>
      </c>
      <c r="L42">
        <v>1982</v>
      </c>
    </row>
    <row r="43" spans="2:12" x14ac:dyDescent="0.25">
      <c r="B43" s="41" t="s">
        <v>555</v>
      </c>
      <c r="C43" s="41">
        <v>4</v>
      </c>
      <c r="D43" s="41" t="s">
        <v>537</v>
      </c>
      <c r="E43" s="41" t="s">
        <v>538</v>
      </c>
      <c r="F43" s="41" t="s">
        <v>554</v>
      </c>
      <c r="G43" s="41" t="s">
        <v>289</v>
      </c>
      <c r="H43" s="124"/>
      <c r="I43" s="41" t="s">
        <v>200</v>
      </c>
      <c r="K43" s="28">
        <v>4</v>
      </c>
      <c r="L43">
        <v>1984</v>
      </c>
    </row>
    <row r="44" spans="2:12" x14ac:dyDescent="0.25">
      <c r="B44" s="41" t="s">
        <v>555</v>
      </c>
      <c r="C44" s="41">
        <v>4</v>
      </c>
      <c r="D44" s="41" t="s">
        <v>496</v>
      </c>
      <c r="E44" s="41" t="s">
        <v>497</v>
      </c>
      <c r="F44" s="41" t="s">
        <v>552</v>
      </c>
      <c r="G44" s="41" t="s">
        <v>391</v>
      </c>
      <c r="H44" s="124"/>
      <c r="I44" s="41" t="s">
        <v>200</v>
      </c>
      <c r="K44" s="28">
        <v>5</v>
      </c>
      <c r="L44">
        <v>1995</v>
      </c>
    </row>
    <row r="45" spans="2:12" x14ac:dyDescent="0.25">
      <c r="B45" t="s">
        <v>555</v>
      </c>
      <c r="C45">
        <v>4</v>
      </c>
      <c r="D45" t="s">
        <v>456</v>
      </c>
      <c r="E45" t="s">
        <v>457</v>
      </c>
      <c r="F45" t="s">
        <v>551</v>
      </c>
      <c r="G45" t="s">
        <v>458</v>
      </c>
      <c r="I45" t="s">
        <v>200</v>
      </c>
      <c r="K45" s="28" t="s">
        <v>560</v>
      </c>
      <c r="L45">
        <v>2005</v>
      </c>
    </row>
    <row r="46" spans="2:12" x14ac:dyDescent="0.25">
      <c r="B46" t="s">
        <v>555</v>
      </c>
      <c r="C46">
        <v>4</v>
      </c>
      <c r="D46" t="s">
        <v>381</v>
      </c>
      <c r="E46" t="s">
        <v>382</v>
      </c>
      <c r="F46" t="s">
        <v>383</v>
      </c>
      <c r="G46" t="s">
        <v>285</v>
      </c>
      <c r="I46" t="s">
        <v>200</v>
      </c>
      <c r="K46" s="28" t="s">
        <v>564</v>
      </c>
      <c r="L46">
        <v>2012</v>
      </c>
    </row>
    <row r="47" spans="2:12" x14ac:dyDescent="0.25">
      <c r="B47" t="s">
        <v>555</v>
      </c>
      <c r="C47">
        <v>4</v>
      </c>
      <c r="D47" t="s">
        <v>524</v>
      </c>
      <c r="E47" t="s">
        <v>525</v>
      </c>
      <c r="F47" t="s">
        <v>526</v>
      </c>
      <c r="G47" t="s">
        <v>285</v>
      </c>
      <c r="I47" t="s">
        <v>200</v>
      </c>
      <c r="K47" s="28" t="s">
        <v>564</v>
      </c>
      <c r="L47">
        <v>1989</v>
      </c>
    </row>
    <row r="48" spans="2:12" x14ac:dyDescent="0.25">
      <c r="B48" s="41" t="s">
        <v>555</v>
      </c>
      <c r="C48" s="41">
        <v>4</v>
      </c>
      <c r="D48" s="41" t="s">
        <v>418</v>
      </c>
      <c r="E48" s="41" t="s">
        <v>419</v>
      </c>
      <c r="F48" s="41" t="s">
        <v>550</v>
      </c>
      <c r="G48" s="41" t="s">
        <v>281</v>
      </c>
      <c r="H48" s="124"/>
      <c r="I48" s="41" t="s">
        <v>200</v>
      </c>
      <c r="K48" s="28" t="s">
        <v>562</v>
      </c>
      <c r="L48">
        <v>1980</v>
      </c>
    </row>
    <row r="49" spans="2:13" x14ac:dyDescent="0.25">
      <c r="B49" s="41" t="s">
        <v>555</v>
      </c>
      <c r="C49" s="41">
        <v>4</v>
      </c>
      <c r="D49" s="41" t="s">
        <v>424</v>
      </c>
      <c r="E49" s="41" t="s">
        <v>425</v>
      </c>
      <c r="F49" s="41" t="s">
        <v>284</v>
      </c>
      <c r="G49" s="41" t="s">
        <v>281</v>
      </c>
      <c r="H49" s="124"/>
      <c r="I49" s="41" t="s">
        <v>200</v>
      </c>
      <c r="K49" s="28" t="s">
        <v>562</v>
      </c>
      <c r="L49">
        <v>1981</v>
      </c>
    </row>
    <row r="50" spans="2:13" x14ac:dyDescent="0.25">
      <c r="B50" t="s">
        <v>555</v>
      </c>
      <c r="C50">
        <v>4</v>
      </c>
      <c r="D50" t="s">
        <v>466</v>
      </c>
      <c r="E50" t="s">
        <v>467</v>
      </c>
      <c r="F50" t="s">
        <v>495</v>
      </c>
      <c r="G50" t="s">
        <v>281</v>
      </c>
      <c r="I50" t="s">
        <v>200</v>
      </c>
      <c r="K50" s="28" t="s">
        <v>562</v>
      </c>
      <c r="L50">
        <v>1986</v>
      </c>
    </row>
    <row r="51" spans="2:13" x14ac:dyDescent="0.25">
      <c r="B51" s="41" t="s">
        <v>555</v>
      </c>
      <c r="C51" s="41">
        <v>4</v>
      </c>
      <c r="D51" s="41" t="s">
        <v>530</v>
      </c>
      <c r="E51" s="41" t="s">
        <v>531</v>
      </c>
      <c r="F51" s="41" t="s">
        <v>487</v>
      </c>
      <c r="G51" s="41" t="s">
        <v>281</v>
      </c>
      <c r="H51" s="124"/>
      <c r="I51" s="41" t="s">
        <v>200</v>
      </c>
      <c r="K51" s="28" t="s">
        <v>562</v>
      </c>
      <c r="L51">
        <v>2000</v>
      </c>
    </row>
    <row r="52" spans="2:13" x14ac:dyDescent="0.25">
      <c r="B52" s="41" t="s">
        <v>555</v>
      </c>
      <c r="C52" s="41">
        <v>4</v>
      </c>
      <c r="D52" s="41" t="s">
        <v>386</v>
      </c>
      <c r="E52" s="41" t="s">
        <v>387</v>
      </c>
      <c r="F52" s="41" t="s">
        <v>330</v>
      </c>
      <c r="G52" s="41" t="s">
        <v>301</v>
      </c>
      <c r="H52" s="124"/>
      <c r="I52" s="41" t="s">
        <v>200</v>
      </c>
      <c r="K52" s="28" t="s">
        <v>561</v>
      </c>
      <c r="L52">
        <v>2017</v>
      </c>
    </row>
    <row r="53" spans="2:13" x14ac:dyDescent="0.25">
      <c r="B53" t="s">
        <v>555</v>
      </c>
      <c r="C53">
        <v>4</v>
      </c>
      <c r="D53" t="s">
        <v>483</v>
      </c>
      <c r="E53" t="s">
        <v>484</v>
      </c>
      <c r="F53" t="s">
        <v>310</v>
      </c>
      <c r="G53" t="s">
        <v>301</v>
      </c>
      <c r="I53" t="s">
        <v>200</v>
      </c>
      <c r="K53" s="28" t="s">
        <v>561</v>
      </c>
      <c r="L53">
        <v>2015</v>
      </c>
    </row>
    <row r="54" spans="2:13" x14ac:dyDescent="0.25">
      <c r="B54" t="s">
        <v>555</v>
      </c>
      <c r="C54">
        <v>4</v>
      </c>
      <c r="D54" t="s">
        <v>376</v>
      </c>
      <c r="E54" t="s">
        <v>377</v>
      </c>
      <c r="F54" t="s">
        <v>417</v>
      </c>
      <c r="G54" t="s">
        <v>311</v>
      </c>
      <c r="I54" t="s">
        <v>200</v>
      </c>
      <c r="K54" s="28">
        <v>12</v>
      </c>
      <c r="L54">
        <v>2018</v>
      </c>
    </row>
    <row r="55" spans="2:13" x14ac:dyDescent="0.25">
      <c r="B55" s="41" t="s">
        <v>555</v>
      </c>
      <c r="C55" s="41">
        <v>4</v>
      </c>
      <c r="D55" s="41" t="s">
        <v>426</v>
      </c>
      <c r="E55" s="41" t="s">
        <v>427</v>
      </c>
      <c r="F55" s="41" t="s">
        <v>297</v>
      </c>
      <c r="G55" s="41" t="s">
        <v>311</v>
      </c>
      <c r="H55" s="124"/>
      <c r="I55" s="41" t="s">
        <v>200</v>
      </c>
      <c r="K55" s="28">
        <v>12</v>
      </c>
      <c r="L55">
        <v>1947</v>
      </c>
    </row>
    <row r="56" spans="2:13" x14ac:dyDescent="0.25">
      <c r="B56" s="41" t="s">
        <v>555</v>
      </c>
      <c r="C56" s="41">
        <v>4</v>
      </c>
      <c r="D56" s="41" t="s">
        <v>439</v>
      </c>
      <c r="E56" s="41" t="s">
        <v>440</v>
      </c>
      <c r="F56" s="41" t="s">
        <v>297</v>
      </c>
      <c r="G56" s="41" t="s">
        <v>311</v>
      </c>
      <c r="H56" s="124"/>
      <c r="I56" s="41" t="s">
        <v>200</v>
      </c>
      <c r="K56" s="28">
        <v>12</v>
      </c>
      <c r="L56">
        <v>1970</v>
      </c>
    </row>
    <row r="57" spans="2:13" x14ac:dyDescent="0.25">
      <c r="B57" s="40" t="s">
        <v>555</v>
      </c>
      <c r="C57" s="40">
        <v>4</v>
      </c>
      <c r="D57" s="40" t="s">
        <v>443</v>
      </c>
      <c r="E57" s="40" t="s">
        <v>444</v>
      </c>
      <c r="F57" s="40" t="s">
        <v>288</v>
      </c>
      <c r="G57" s="40" t="s">
        <v>311</v>
      </c>
      <c r="H57" s="122"/>
      <c r="I57" s="40" t="s">
        <v>200</v>
      </c>
      <c r="K57" s="28">
        <v>12</v>
      </c>
      <c r="L57">
        <v>1973</v>
      </c>
      <c r="M57" s="2">
        <v>18000</v>
      </c>
    </row>
    <row r="58" spans="2:13" x14ac:dyDescent="0.25">
      <c r="B58" t="s">
        <v>555</v>
      </c>
      <c r="C58">
        <v>4</v>
      </c>
      <c r="D58" t="s">
        <v>445</v>
      </c>
      <c r="E58" t="s">
        <v>446</v>
      </c>
      <c r="F58" t="s">
        <v>310</v>
      </c>
      <c r="G58" t="s">
        <v>311</v>
      </c>
      <c r="I58" t="s">
        <v>200</v>
      </c>
      <c r="K58" s="28">
        <v>12</v>
      </c>
      <c r="L58">
        <v>2012</v>
      </c>
    </row>
    <row r="59" spans="2:13" x14ac:dyDescent="0.25">
      <c r="B59" t="s">
        <v>555</v>
      </c>
      <c r="C59">
        <v>4</v>
      </c>
      <c r="D59" t="s">
        <v>475</v>
      </c>
      <c r="E59" t="s">
        <v>476</v>
      </c>
      <c r="F59" t="s">
        <v>347</v>
      </c>
      <c r="G59" t="s">
        <v>311</v>
      </c>
      <c r="I59" t="s">
        <v>200</v>
      </c>
      <c r="K59" s="28">
        <v>12</v>
      </c>
      <c r="L59">
        <v>2015</v>
      </c>
    </row>
    <row r="60" spans="2:13" x14ac:dyDescent="0.25">
      <c r="B60" t="s">
        <v>556</v>
      </c>
      <c r="C60">
        <v>5</v>
      </c>
      <c r="D60" t="s">
        <v>415</v>
      </c>
      <c r="E60" t="s">
        <v>416</v>
      </c>
      <c r="F60" t="s">
        <v>417</v>
      </c>
      <c r="G60" t="s">
        <v>304</v>
      </c>
      <c r="I60" t="s">
        <v>200</v>
      </c>
      <c r="K60" s="28">
        <v>1</v>
      </c>
      <c r="L60">
        <v>1998</v>
      </c>
    </row>
    <row r="61" spans="2:13" x14ac:dyDescent="0.25">
      <c r="B61" t="s">
        <v>556</v>
      </c>
      <c r="C61">
        <v>5</v>
      </c>
      <c r="D61" t="s">
        <v>472</v>
      </c>
      <c r="E61" t="s">
        <v>473</v>
      </c>
      <c r="F61" t="s">
        <v>474</v>
      </c>
      <c r="G61" t="s">
        <v>304</v>
      </c>
      <c r="I61" t="s">
        <v>200</v>
      </c>
      <c r="K61" s="28">
        <v>1</v>
      </c>
      <c r="L61">
        <v>1987</v>
      </c>
    </row>
    <row r="62" spans="2:13" x14ac:dyDescent="0.25">
      <c r="B62" t="s">
        <v>556</v>
      </c>
      <c r="C62">
        <v>5</v>
      </c>
      <c r="D62" t="s">
        <v>410</v>
      </c>
      <c r="E62" t="s">
        <v>411</v>
      </c>
      <c r="F62" t="s">
        <v>320</v>
      </c>
      <c r="G62" t="s">
        <v>317</v>
      </c>
      <c r="I62" t="s">
        <v>200</v>
      </c>
      <c r="K62" s="28">
        <v>2</v>
      </c>
      <c r="L62">
        <v>2010</v>
      </c>
    </row>
    <row r="63" spans="2:13" x14ac:dyDescent="0.25">
      <c r="B63" t="s">
        <v>556</v>
      </c>
      <c r="C63">
        <v>5</v>
      </c>
      <c r="D63" t="s">
        <v>392</v>
      </c>
      <c r="E63" t="s">
        <v>393</v>
      </c>
      <c r="F63" t="s">
        <v>394</v>
      </c>
      <c r="G63" t="s">
        <v>289</v>
      </c>
      <c r="I63" t="s">
        <v>200</v>
      </c>
      <c r="K63" s="28">
        <v>4</v>
      </c>
      <c r="L63">
        <v>1988</v>
      </c>
    </row>
    <row r="64" spans="2:13" x14ac:dyDescent="0.25">
      <c r="B64" t="s">
        <v>556</v>
      </c>
      <c r="C64">
        <v>5</v>
      </c>
      <c r="D64" t="s">
        <v>398</v>
      </c>
      <c r="E64" t="s">
        <v>399</v>
      </c>
      <c r="F64" t="s">
        <v>400</v>
      </c>
      <c r="G64" t="s">
        <v>289</v>
      </c>
      <c r="I64" t="s">
        <v>200</v>
      </c>
      <c r="K64" s="28">
        <v>4</v>
      </c>
      <c r="L64">
        <v>2006</v>
      </c>
    </row>
    <row r="65" spans="2:12" x14ac:dyDescent="0.25">
      <c r="B65" t="s">
        <v>556</v>
      </c>
      <c r="C65">
        <v>5</v>
      </c>
      <c r="D65" t="s">
        <v>420</v>
      </c>
      <c r="E65" t="s">
        <v>421</v>
      </c>
      <c r="F65" t="s">
        <v>409</v>
      </c>
      <c r="G65" t="s">
        <v>289</v>
      </c>
      <c r="I65" t="s">
        <v>200</v>
      </c>
      <c r="K65" s="28">
        <v>4</v>
      </c>
      <c r="L65">
        <v>2021</v>
      </c>
    </row>
    <row r="66" spans="2:12" x14ac:dyDescent="0.25">
      <c r="B66" t="s">
        <v>556</v>
      </c>
      <c r="C66">
        <v>5</v>
      </c>
      <c r="D66" t="s">
        <v>437</v>
      </c>
      <c r="E66" t="s">
        <v>438</v>
      </c>
      <c r="F66" t="s">
        <v>284</v>
      </c>
      <c r="G66" t="s">
        <v>289</v>
      </c>
      <c r="I66" t="s">
        <v>200</v>
      </c>
      <c r="K66" s="28">
        <v>4</v>
      </c>
      <c r="L66">
        <v>1991</v>
      </c>
    </row>
    <row r="67" spans="2:12" x14ac:dyDescent="0.25">
      <c r="B67" t="s">
        <v>556</v>
      </c>
      <c r="C67" s="41">
        <v>5</v>
      </c>
      <c r="D67" t="s">
        <v>452</v>
      </c>
      <c r="E67" t="s">
        <v>453</v>
      </c>
      <c r="F67" t="s">
        <v>347</v>
      </c>
      <c r="G67" t="s">
        <v>289</v>
      </c>
      <c r="I67" t="s">
        <v>200</v>
      </c>
      <c r="K67" s="28">
        <v>4</v>
      </c>
      <c r="L67">
        <v>2020</v>
      </c>
    </row>
    <row r="68" spans="2:12" x14ac:dyDescent="0.25">
      <c r="B68" s="41" t="s">
        <v>556</v>
      </c>
      <c r="C68" s="41">
        <v>5</v>
      </c>
      <c r="D68" s="41" t="s">
        <v>468</v>
      </c>
      <c r="E68" s="41" t="s">
        <v>469</v>
      </c>
      <c r="F68" s="41" t="s">
        <v>320</v>
      </c>
      <c r="G68" s="41" t="s">
        <v>289</v>
      </c>
      <c r="H68" s="124"/>
      <c r="I68" s="41" t="s">
        <v>200</v>
      </c>
      <c r="K68" s="28">
        <v>4</v>
      </c>
      <c r="L68">
        <v>1978</v>
      </c>
    </row>
    <row r="69" spans="2:12" x14ac:dyDescent="0.25">
      <c r="B69" s="41" t="s">
        <v>556</v>
      </c>
      <c r="C69" s="41">
        <v>5</v>
      </c>
      <c r="D69" s="41" t="s">
        <v>477</v>
      </c>
      <c r="E69" s="41" t="s">
        <v>478</v>
      </c>
      <c r="F69" s="41" t="s">
        <v>479</v>
      </c>
      <c r="G69" s="41" t="s">
        <v>289</v>
      </c>
      <c r="H69" s="124"/>
      <c r="I69" s="41" t="s">
        <v>200</v>
      </c>
      <c r="K69" s="28">
        <v>4</v>
      </c>
      <c r="L69">
        <v>2019</v>
      </c>
    </row>
    <row r="70" spans="2:12" x14ac:dyDescent="0.25">
      <c r="B70" t="s">
        <v>556</v>
      </c>
      <c r="C70">
        <v>5</v>
      </c>
      <c r="D70" t="s">
        <v>498</v>
      </c>
      <c r="E70" t="s">
        <v>499</v>
      </c>
      <c r="F70" t="s">
        <v>474</v>
      </c>
      <c r="G70" t="s">
        <v>289</v>
      </c>
      <c r="I70" t="s">
        <v>200</v>
      </c>
      <c r="K70" s="28">
        <v>4</v>
      </c>
      <c r="L70">
        <v>2015</v>
      </c>
    </row>
    <row r="71" spans="2:12" x14ac:dyDescent="0.25">
      <c r="B71" t="s">
        <v>556</v>
      </c>
      <c r="C71">
        <v>5</v>
      </c>
      <c r="D71" t="s">
        <v>512</v>
      </c>
      <c r="E71" t="s">
        <v>513</v>
      </c>
      <c r="F71" t="s">
        <v>502</v>
      </c>
      <c r="G71" t="s">
        <v>289</v>
      </c>
      <c r="I71" t="s">
        <v>200</v>
      </c>
      <c r="K71" s="28">
        <v>4</v>
      </c>
      <c r="L71">
        <v>1995</v>
      </c>
    </row>
    <row r="72" spans="2:12" x14ac:dyDescent="0.25">
      <c r="B72" t="s">
        <v>556</v>
      </c>
      <c r="C72">
        <v>5</v>
      </c>
      <c r="D72" t="s">
        <v>527</v>
      </c>
      <c r="E72" t="s">
        <v>528</v>
      </c>
      <c r="F72" t="s">
        <v>529</v>
      </c>
      <c r="G72" t="s">
        <v>289</v>
      </c>
      <c r="I72" t="s">
        <v>200</v>
      </c>
      <c r="K72" s="28">
        <v>4</v>
      </c>
      <c r="L72">
        <v>2019</v>
      </c>
    </row>
    <row r="73" spans="2:12" x14ac:dyDescent="0.25">
      <c r="B73" t="s">
        <v>556</v>
      </c>
      <c r="C73">
        <v>5</v>
      </c>
      <c r="D73" t="s">
        <v>388</v>
      </c>
      <c r="E73" t="s">
        <v>389</v>
      </c>
      <c r="F73" t="s">
        <v>390</v>
      </c>
      <c r="G73" t="s">
        <v>391</v>
      </c>
      <c r="I73" t="s">
        <v>200</v>
      </c>
      <c r="K73" s="28">
        <v>5</v>
      </c>
      <c r="L73">
        <v>1982</v>
      </c>
    </row>
    <row r="74" spans="2:12" x14ac:dyDescent="0.25">
      <c r="B74" t="s">
        <v>556</v>
      </c>
      <c r="C74">
        <v>5</v>
      </c>
      <c r="D74" t="s">
        <v>412</v>
      </c>
      <c r="E74" t="s">
        <v>413</v>
      </c>
      <c r="F74" t="s">
        <v>414</v>
      </c>
      <c r="G74" t="s">
        <v>391</v>
      </c>
      <c r="I74" t="s">
        <v>200</v>
      </c>
      <c r="K74" s="28">
        <v>5</v>
      </c>
      <c r="L74">
        <v>1980</v>
      </c>
    </row>
    <row r="75" spans="2:12" x14ac:dyDescent="0.25">
      <c r="B75" s="41" t="s">
        <v>556</v>
      </c>
      <c r="C75" s="41">
        <v>5</v>
      </c>
      <c r="D75" s="41" t="s">
        <v>428</v>
      </c>
      <c r="E75" s="41" t="s">
        <v>429</v>
      </c>
      <c r="F75" s="41" t="s">
        <v>430</v>
      </c>
      <c r="G75" s="41" t="s">
        <v>391</v>
      </c>
      <c r="H75" s="124"/>
      <c r="I75" s="41" t="s">
        <v>200</v>
      </c>
      <c r="K75" s="28">
        <v>5</v>
      </c>
      <c r="L75">
        <v>2005</v>
      </c>
    </row>
    <row r="76" spans="2:12" x14ac:dyDescent="0.25">
      <c r="B76" t="s">
        <v>556</v>
      </c>
      <c r="C76">
        <v>5</v>
      </c>
      <c r="D76" t="s">
        <v>449</v>
      </c>
      <c r="E76" t="s">
        <v>450</v>
      </c>
      <c r="F76" t="s">
        <v>451</v>
      </c>
      <c r="G76" t="s">
        <v>391</v>
      </c>
      <c r="I76" t="s">
        <v>200</v>
      </c>
      <c r="K76" s="28">
        <v>5</v>
      </c>
      <c r="L76">
        <v>2012</v>
      </c>
    </row>
    <row r="77" spans="2:12" x14ac:dyDescent="0.25">
      <c r="B77" s="41" t="s">
        <v>556</v>
      </c>
      <c r="C77" s="41">
        <v>5</v>
      </c>
      <c r="D77" s="41" t="s">
        <v>485</v>
      </c>
      <c r="E77" s="41" t="s">
        <v>486</v>
      </c>
      <c r="F77" s="41" t="s">
        <v>487</v>
      </c>
      <c r="G77" s="41" t="s">
        <v>391</v>
      </c>
      <c r="H77" s="124"/>
      <c r="I77" s="41" t="s">
        <v>200</v>
      </c>
      <c r="K77" s="28">
        <v>5</v>
      </c>
      <c r="L77">
        <v>1975</v>
      </c>
    </row>
    <row r="78" spans="2:12" x14ac:dyDescent="0.25">
      <c r="B78" t="s">
        <v>556</v>
      </c>
      <c r="C78">
        <v>5</v>
      </c>
      <c r="D78" t="s">
        <v>507</v>
      </c>
      <c r="E78" t="s">
        <v>508</v>
      </c>
      <c r="F78" t="s">
        <v>509</v>
      </c>
      <c r="G78" t="s">
        <v>391</v>
      </c>
      <c r="I78" t="s">
        <v>200</v>
      </c>
      <c r="K78" s="28">
        <v>5</v>
      </c>
      <c r="L78">
        <v>1991</v>
      </c>
    </row>
    <row r="79" spans="2:12" x14ac:dyDescent="0.25">
      <c r="B79" t="s">
        <v>556</v>
      </c>
      <c r="C79">
        <v>5</v>
      </c>
      <c r="D79" t="s">
        <v>500</v>
      </c>
      <c r="E79" t="s">
        <v>501</v>
      </c>
      <c r="F79" t="s">
        <v>502</v>
      </c>
      <c r="G79" t="s">
        <v>503</v>
      </c>
      <c r="I79" t="s">
        <v>200</v>
      </c>
      <c r="K79" s="28">
        <v>6</v>
      </c>
      <c r="L79">
        <v>1979</v>
      </c>
    </row>
    <row r="80" spans="2:12" x14ac:dyDescent="0.25">
      <c r="B80" t="s">
        <v>556</v>
      </c>
      <c r="C80">
        <v>5</v>
      </c>
      <c r="D80" t="s">
        <v>519</v>
      </c>
      <c r="E80" t="s">
        <v>520</v>
      </c>
      <c r="F80" t="s">
        <v>521</v>
      </c>
      <c r="G80" t="s">
        <v>503</v>
      </c>
      <c r="I80" t="s">
        <v>200</v>
      </c>
      <c r="K80" s="28">
        <v>6</v>
      </c>
      <c r="L80">
        <v>1979</v>
      </c>
    </row>
    <row r="81" spans="2:12" x14ac:dyDescent="0.25">
      <c r="B81" s="41" t="s">
        <v>556</v>
      </c>
      <c r="C81" s="41">
        <v>5</v>
      </c>
      <c r="D81" s="41" t="s">
        <v>431</v>
      </c>
      <c r="E81" s="41" t="s">
        <v>432</v>
      </c>
      <c r="F81" s="41" t="s">
        <v>314</v>
      </c>
      <c r="G81" s="41" t="s">
        <v>433</v>
      </c>
      <c r="H81" s="124"/>
      <c r="I81" s="41" t="s">
        <v>200</v>
      </c>
      <c r="K81" s="28">
        <v>7</v>
      </c>
      <c r="L81">
        <v>1979</v>
      </c>
    </row>
    <row r="82" spans="2:12" x14ac:dyDescent="0.25">
      <c r="B82" t="s">
        <v>556</v>
      </c>
      <c r="C82">
        <v>5</v>
      </c>
      <c r="D82" t="s">
        <v>491</v>
      </c>
      <c r="E82" t="s">
        <v>492</v>
      </c>
      <c r="F82" t="s">
        <v>330</v>
      </c>
      <c r="G82" t="s">
        <v>433</v>
      </c>
      <c r="I82" t="s">
        <v>200</v>
      </c>
      <c r="K82" s="28">
        <v>7</v>
      </c>
      <c r="L82">
        <v>1992</v>
      </c>
    </row>
    <row r="83" spans="2:12" x14ac:dyDescent="0.25">
      <c r="B83" s="41" t="s">
        <v>556</v>
      </c>
      <c r="C83" s="41">
        <v>5</v>
      </c>
      <c r="D83" s="41" t="s">
        <v>441</v>
      </c>
      <c r="E83" s="41" t="s">
        <v>442</v>
      </c>
      <c r="F83" s="41" t="s">
        <v>297</v>
      </c>
      <c r="G83" s="41" t="s">
        <v>357</v>
      </c>
      <c r="H83" s="124"/>
      <c r="I83" s="41" t="s">
        <v>200</v>
      </c>
      <c r="K83" s="28">
        <v>8</v>
      </c>
      <c r="L83">
        <v>1987</v>
      </c>
    </row>
    <row r="84" spans="2:12" x14ac:dyDescent="0.25">
      <c r="B84" t="s">
        <v>556</v>
      </c>
      <c r="C84">
        <v>5</v>
      </c>
      <c r="D84" t="s">
        <v>447</v>
      </c>
      <c r="E84" t="s">
        <v>448</v>
      </c>
      <c r="F84" t="s">
        <v>360</v>
      </c>
      <c r="G84" t="s">
        <v>357</v>
      </c>
      <c r="I84" t="s">
        <v>200</v>
      </c>
      <c r="K84" s="28">
        <v>8</v>
      </c>
      <c r="L84">
        <v>2011</v>
      </c>
    </row>
    <row r="85" spans="2:12" x14ac:dyDescent="0.25">
      <c r="B85" t="s">
        <v>556</v>
      </c>
      <c r="C85">
        <v>5</v>
      </c>
      <c r="D85" t="s">
        <v>522</v>
      </c>
      <c r="E85" t="s">
        <v>523</v>
      </c>
      <c r="F85" t="s">
        <v>314</v>
      </c>
      <c r="G85" t="s">
        <v>357</v>
      </c>
      <c r="I85" t="s">
        <v>200</v>
      </c>
      <c r="K85" s="28">
        <v>8</v>
      </c>
      <c r="L85">
        <v>2012</v>
      </c>
    </row>
    <row r="86" spans="2:12" x14ac:dyDescent="0.25">
      <c r="B86" t="s">
        <v>556</v>
      </c>
      <c r="C86">
        <v>5</v>
      </c>
      <c r="D86" t="s">
        <v>407</v>
      </c>
      <c r="E86" t="s">
        <v>408</v>
      </c>
      <c r="F86" t="s">
        <v>409</v>
      </c>
      <c r="G86" t="s">
        <v>285</v>
      </c>
      <c r="I86" t="s">
        <v>200</v>
      </c>
      <c r="K86" s="28" t="s">
        <v>564</v>
      </c>
      <c r="L86">
        <v>2007</v>
      </c>
    </row>
    <row r="87" spans="2:12" x14ac:dyDescent="0.25">
      <c r="B87" t="s">
        <v>556</v>
      </c>
      <c r="C87">
        <v>5</v>
      </c>
      <c r="D87" t="s">
        <v>539</v>
      </c>
      <c r="E87" t="s">
        <v>540</v>
      </c>
      <c r="F87" t="s">
        <v>541</v>
      </c>
      <c r="G87" t="s">
        <v>285</v>
      </c>
      <c r="I87" t="s">
        <v>200</v>
      </c>
      <c r="K87" s="28" t="s">
        <v>564</v>
      </c>
      <c r="L87">
        <v>2004</v>
      </c>
    </row>
    <row r="88" spans="2:12" x14ac:dyDescent="0.25">
      <c r="B88" t="s">
        <v>556</v>
      </c>
      <c r="C88">
        <v>5</v>
      </c>
      <c r="D88" t="s">
        <v>542</v>
      </c>
      <c r="E88" t="s">
        <v>543</v>
      </c>
      <c r="F88" t="s">
        <v>544</v>
      </c>
      <c r="G88" t="s">
        <v>545</v>
      </c>
      <c r="I88" t="s">
        <v>200</v>
      </c>
      <c r="K88" s="28" t="s">
        <v>565</v>
      </c>
      <c r="L88">
        <v>1979</v>
      </c>
    </row>
    <row r="89" spans="2:12" x14ac:dyDescent="0.25">
      <c r="B89" t="s">
        <v>556</v>
      </c>
      <c r="C89">
        <v>5</v>
      </c>
      <c r="D89" t="s">
        <v>395</v>
      </c>
      <c r="E89" t="s">
        <v>396</v>
      </c>
      <c r="F89" t="s">
        <v>360</v>
      </c>
      <c r="G89" t="s">
        <v>281</v>
      </c>
      <c r="I89" t="s">
        <v>200</v>
      </c>
      <c r="K89" s="28" t="s">
        <v>562</v>
      </c>
      <c r="L89">
        <v>2005</v>
      </c>
    </row>
    <row r="90" spans="2:12" x14ac:dyDescent="0.25">
      <c r="B90" t="s">
        <v>556</v>
      </c>
      <c r="C90">
        <v>5</v>
      </c>
      <c r="D90" t="s">
        <v>401</v>
      </c>
      <c r="E90" t="s">
        <v>402</v>
      </c>
      <c r="F90" t="s">
        <v>403</v>
      </c>
      <c r="G90" t="s">
        <v>281</v>
      </c>
      <c r="I90" t="s">
        <v>200</v>
      </c>
      <c r="K90" s="28" t="s">
        <v>562</v>
      </c>
      <c r="L90">
        <v>2008</v>
      </c>
    </row>
    <row r="91" spans="2:12" x14ac:dyDescent="0.25">
      <c r="B91" t="s">
        <v>556</v>
      </c>
      <c r="C91">
        <v>5</v>
      </c>
      <c r="D91" t="s">
        <v>404</v>
      </c>
      <c r="E91" t="s">
        <v>405</v>
      </c>
      <c r="F91" t="s">
        <v>406</v>
      </c>
      <c r="G91" t="s">
        <v>281</v>
      </c>
      <c r="I91" t="s">
        <v>200</v>
      </c>
      <c r="K91" s="28" t="s">
        <v>562</v>
      </c>
      <c r="L91">
        <v>1984</v>
      </c>
    </row>
    <row r="92" spans="2:12" x14ac:dyDescent="0.25">
      <c r="B92" t="s">
        <v>556</v>
      </c>
      <c r="C92">
        <v>5</v>
      </c>
      <c r="D92" t="s">
        <v>454</v>
      </c>
      <c r="E92" t="s">
        <v>455</v>
      </c>
      <c r="F92" t="s">
        <v>383</v>
      </c>
      <c r="G92" t="s">
        <v>281</v>
      </c>
      <c r="I92" t="s">
        <v>200</v>
      </c>
      <c r="K92" s="28" t="s">
        <v>562</v>
      </c>
      <c r="L92">
        <v>2013</v>
      </c>
    </row>
    <row r="93" spans="2:12" x14ac:dyDescent="0.25">
      <c r="B93" t="s">
        <v>556</v>
      </c>
      <c r="C93">
        <v>5</v>
      </c>
      <c r="D93" t="s">
        <v>461</v>
      </c>
      <c r="E93" t="s">
        <v>462</v>
      </c>
      <c r="F93" t="s">
        <v>400</v>
      </c>
      <c r="G93" t="s">
        <v>281</v>
      </c>
      <c r="I93" t="s">
        <v>200</v>
      </c>
      <c r="K93" s="28" t="s">
        <v>562</v>
      </c>
      <c r="L93">
        <v>1924</v>
      </c>
    </row>
    <row r="94" spans="2:12" x14ac:dyDescent="0.25">
      <c r="B94" s="41" t="s">
        <v>556</v>
      </c>
      <c r="C94" s="41">
        <v>5</v>
      </c>
      <c r="D94" s="41" t="s">
        <v>463</v>
      </c>
      <c r="E94" s="41" t="s">
        <v>464</v>
      </c>
      <c r="F94" s="41" t="s">
        <v>465</v>
      </c>
      <c r="G94" s="41" t="s">
        <v>281</v>
      </c>
      <c r="H94" s="124"/>
      <c r="I94" s="41" t="s">
        <v>200</v>
      </c>
      <c r="K94" s="28" t="s">
        <v>562</v>
      </c>
      <c r="L94">
        <v>2009</v>
      </c>
    </row>
    <row r="95" spans="2:12" x14ac:dyDescent="0.25">
      <c r="B95" t="s">
        <v>556</v>
      </c>
      <c r="C95">
        <v>5</v>
      </c>
      <c r="D95" t="s">
        <v>480</v>
      </c>
      <c r="E95" t="s">
        <v>481</v>
      </c>
      <c r="F95" t="s">
        <v>482</v>
      </c>
      <c r="G95" t="s">
        <v>281</v>
      </c>
      <c r="I95" t="s">
        <v>200</v>
      </c>
      <c r="K95" s="28" t="s">
        <v>562</v>
      </c>
      <c r="L95">
        <v>2003</v>
      </c>
    </row>
    <row r="96" spans="2:12" x14ac:dyDescent="0.25">
      <c r="B96" t="s">
        <v>556</v>
      </c>
      <c r="C96">
        <v>5</v>
      </c>
      <c r="D96" t="s">
        <v>516</v>
      </c>
      <c r="E96" t="s">
        <v>517</v>
      </c>
      <c r="F96" t="s">
        <v>518</v>
      </c>
      <c r="G96" t="s">
        <v>281</v>
      </c>
      <c r="I96" t="s">
        <v>200</v>
      </c>
      <c r="K96" s="28" t="s">
        <v>562</v>
      </c>
      <c r="L96">
        <v>1983</v>
      </c>
    </row>
    <row r="97" spans="2:18" x14ac:dyDescent="0.25">
      <c r="B97" s="41" t="s">
        <v>556</v>
      </c>
      <c r="C97" s="41">
        <v>5</v>
      </c>
      <c r="D97" s="41" t="s">
        <v>535</v>
      </c>
      <c r="E97" s="41" t="s">
        <v>536</v>
      </c>
      <c r="F97" s="41" t="s">
        <v>479</v>
      </c>
      <c r="G97" s="41" t="s">
        <v>281</v>
      </c>
      <c r="H97" s="124"/>
      <c r="I97" s="41" t="s">
        <v>200</v>
      </c>
      <c r="K97" s="28" t="s">
        <v>562</v>
      </c>
      <c r="L97">
        <v>1986</v>
      </c>
    </row>
    <row r="98" spans="2:18" x14ac:dyDescent="0.25">
      <c r="B98" t="s">
        <v>556</v>
      </c>
      <c r="C98">
        <v>5</v>
      </c>
      <c r="D98" t="s">
        <v>546</v>
      </c>
      <c r="E98" t="s">
        <v>547</v>
      </c>
      <c r="F98" t="s">
        <v>548</v>
      </c>
      <c r="G98" t="s">
        <v>281</v>
      </c>
      <c r="I98" t="s">
        <v>200</v>
      </c>
      <c r="K98" s="28" t="s">
        <v>562</v>
      </c>
      <c r="L98">
        <v>1992</v>
      </c>
    </row>
    <row r="99" spans="2:18" x14ac:dyDescent="0.25">
      <c r="B99" t="s">
        <v>556</v>
      </c>
      <c r="C99">
        <v>5</v>
      </c>
      <c r="D99" t="s">
        <v>434</v>
      </c>
      <c r="E99" t="s">
        <v>435</v>
      </c>
      <c r="F99" t="s">
        <v>356</v>
      </c>
      <c r="G99" t="s">
        <v>436</v>
      </c>
      <c r="I99" t="s">
        <v>200</v>
      </c>
      <c r="K99" s="28" t="s">
        <v>563</v>
      </c>
      <c r="L99">
        <v>1984</v>
      </c>
    </row>
    <row r="100" spans="2:18" x14ac:dyDescent="0.25">
      <c r="B100" s="40" t="s">
        <v>556</v>
      </c>
      <c r="C100" s="40">
        <v>5</v>
      </c>
      <c r="D100" s="40" t="s">
        <v>378</v>
      </c>
      <c r="E100" s="40" t="s">
        <v>379</v>
      </c>
      <c r="F100" s="40" t="s">
        <v>380</v>
      </c>
      <c r="G100" s="40" t="s">
        <v>301</v>
      </c>
      <c r="H100" s="122"/>
      <c r="I100" s="40" t="s">
        <v>200</v>
      </c>
      <c r="K100" s="28" t="s">
        <v>561</v>
      </c>
      <c r="L100">
        <v>1972</v>
      </c>
    </row>
    <row r="101" spans="2:18" x14ac:dyDescent="0.25">
      <c r="B101" s="41" t="s">
        <v>556</v>
      </c>
      <c r="C101" s="41">
        <v>5</v>
      </c>
      <c r="D101" s="41" t="s">
        <v>384</v>
      </c>
      <c r="E101" s="41" t="s">
        <v>385</v>
      </c>
      <c r="F101" s="41" t="s">
        <v>330</v>
      </c>
      <c r="G101" s="41" t="s">
        <v>301</v>
      </c>
      <c r="H101" s="124"/>
      <c r="I101" s="41" t="s">
        <v>200</v>
      </c>
      <c r="K101" s="28" t="s">
        <v>561</v>
      </c>
      <c r="L101">
        <v>1987</v>
      </c>
    </row>
    <row r="102" spans="2:18" x14ac:dyDescent="0.25">
      <c r="B102" s="41" t="s">
        <v>556</v>
      </c>
      <c r="C102" s="41">
        <v>5</v>
      </c>
      <c r="D102" s="41" t="s">
        <v>459</v>
      </c>
      <c r="E102" s="41" t="s">
        <v>460</v>
      </c>
      <c r="F102" s="41" t="s">
        <v>297</v>
      </c>
      <c r="G102" s="41" t="s">
        <v>301</v>
      </c>
      <c r="H102" s="124"/>
      <c r="I102" s="41" t="s">
        <v>200</v>
      </c>
      <c r="K102" s="28" t="s">
        <v>561</v>
      </c>
      <c r="L102">
        <v>2011</v>
      </c>
    </row>
    <row r="103" spans="2:18" x14ac:dyDescent="0.25">
      <c r="B103" s="41" t="s">
        <v>556</v>
      </c>
      <c r="C103" s="41">
        <v>5</v>
      </c>
      <c r="D103" s="41" t="s">
        <v>493</v>
      </c>
      <c r="E103" s="41" t="s">
        <v>494</v>
      </c>
      <c r="F103" s="41" t="s">
        <v>495</v>
      </c>
      <c r="G103" s="41" t="s">
        <v>301</v>
      </c>
      <c r="H103" s="124"/>
      <c r="I103" s="41" t="s">
        <v>200</v>
      </c>
      <c r="K103" s="28" t="s">
        <v>561</v>
      </c>
      <c r="L103">
        <v>2004</v>
      </c>
    </row>
    <row r="104" spans="2:18" x14ac:dyDescent="0.25">
      <c r="B104" t="s">
        <v>556</v>
      </c>
      <c r="C104">
        <v>5</v>
      </c>
      <c r="D104" t="s">
        <v>470</v>
      </c>
      <c r="E104" t="s">
        <v>471</v>
      </c>
      <c r="F104" t="s">
        <v>320</v>
      </c>
      <c r="G104" t="s">
        <v>311</v>
      </c>
      <c r="I104" t="s">
        <v>200</v>
      </c>
      <c r="K104" s="28">
        <v>12</v>
      </c>
      <c r="L104">
        <v>2010</v>
      </c>
    </row>
    <row r="105" spans="2:18" x14ac:dyDescent="0.25">
      <c r="B105" t="s">
        <v>556</v>
      </c>
      <c r="C105">
        <v>5</v>
      </c>
      <c r="D105" t="s">
        <v>532</v>
      </c>
      <c r="E105" t="s">
        <v>533</v>
      </c>
      <c r="F105" t="s">
        <v>534</v>
      </c>
      <c r="G105" t="s">
        <v>311</v>
      </c>
      <c r="I105" t="s">
        <v>200</v>
      </c>
      <c r="K105" s="28" t="s">
        <v>618</v>
      </c>
      <c r="L105">
        <v>1986</v>
      </c>
    </row>
    <row r="106" spans="2:18" x14ac:dyDescent="0.25">
      <c r="B106" s="120" t="s">
        <v>581</v>
      </c>
      <c r="C106" s="120"/>
      <c r="D106" s="120" t="s">
        <v>680</v>
      </c>
      <c r="E106" s="120"/>
      <c r="F106" s="120"/>
      <c r="G106" s="120" t="s">
        <v>304</v>
      </c>
      <c r="H106" s="121"/>
      <c r="I106" s="120"/>
      <c r="P106" s="120">
        <v>1</v>
      </c>
      <c r="R106" s="120">
        <v>1</v>
      </c>
    </row>
    <row r="107" spans="2:18" x14ac:dyDescent="0.25">
      <c r="B107" s="39" t="s">
        <v>581</v>
      </c>
      <c r="C107" s="39"/>
      <c r="D107" s="39" t="s">
        <v>622</v>
      </c>
      <c r="E107" s="39"/>
      <c r="F107" s="39"/>
      <c r="G107" s="39" t="s">
        <v>317</v>
      </c>
      <c r="H107" s="118">
        <v>45689</v>
      </c>
      <c r="I107" s="39" t="s">
        <v>198</v>
      </c>
      <c r="J107" s="152">
        <v>35</v>
      </c>
      <c r="K107" s="28" t="s">
        <v>623</v>
      </c>
      <c r="N107" s="126">
        <v>46054</v>
      </c>
      <c r="P107" s="120">
        <v>1</v>
      </c>
      <c r="Q107" s="120">
        <v>1</v>
      </c>
    </row>
    <row r="108" spans="2:18" x14ac:dyDescent="0.25">
      <c r="B108" s="120" t="s">
        <v>581</v>
      </c>
      <c r="C108" s="120"/>
      <c r="D108" s="120" t="s">
        <v>683</v>
      </c>
      <c r="E108" s="120"/>
      <c r="F108" s="120"/>
      <c r="G108" s="120" t="s">
        <v>317</v>
      </c>
      <c r="H108" s="121"/>
      <c r="I108" s="120" t="s">
        <v>684</v>
      </c>
      <c r="J108" s="152">
        <v>21.15</v>
      </c>
      <c r="R108">
        <v>1</v>
      </c>
    </row>
    <row r="109" spans="2:18" x14ac:dyDescent="0.25">
      <c r="B109" s="39" t="s">
        <v>581</v>
      </c>
      <c r="C109" s="39"/>
      <c r="D109" s="39" t="s">
        <v>582</v>
      </c>
      <c r="E109" s="39"/>
      <c r="F109" s="39" t="s">
        <v>288</v>
      </c>
      <c r="G109" s="39" t="s">
        <v>298</v>
      </c>
      <c r="H109" s="118">
        <v>46096</v>
      </c>
      <c r="I109" s="39" t="s">
        <v>199</v>
      </c>
      <c r="K109" s="28" t="s">
        <v>619</v>
      </c>
      <c r="N109" s="126">
        <v>45951</v>
      </c>
      <c r="P109" s="39">
        <v>1</v>
      </c>
      <c r="Q109" s="39">
        <v>1</v>
      </c>
    </row>
    <row r="110" spans="2:18" x14ac:dyDescent="0.25">
      <c r="B110" t="s">
        <v>581</v>
      </c>
      <c r="D110" t="s">
        <v>624</v>
      </c>
      <c r="G110" t="s">
        <v>298</v>
      </c>
      <c r="I110" t="s">
        <v>625</v>
      </c>
      <c r="K110" s="28" t="s">
        <v>619</v>
      </c>
    </row>
    <row r="111" spans="2:18" x14ac:dyDescent="0.25">
      <c r="B111" t="s">
        <v>581</v>
      </c>
      <c r="D111" t="s">
        <v>631</v>
      </c>
      <c r="F111" t="s">
        <v>288</v>
      </c>
      <c r="G111" t="s">
        <v>289</v>
      </c>
      <c r="H111" s="119">
        <v>46138</v>
      </c>
      <c r="I111" t="s">
        <v>199</v>
      </c>
      <c r="K111" s="28" t="s">
        <v>620</v>
      </c>
      <c r="N111" s="126" t="s">
        <v>632</v>
      </c>
      <c r="O111" t="s">
        <v>588</v>
      </c>
    </row>
    <row r="112" spans="2:18" x14ac:dyDescent="0.25">
      <c r="B112" s="120" t="s">
        <v>633</v>
      </c>
      <c r="C112" s="120"/>
      <c r="D112" s="120" t="s">
        <v>634</v>
      </c>
      <c r="E112" s="120"/>
      <c r="F112" s="120"/>
      <c r="G112" s="120" t="s">
        <v>289</v>
      </c>
      <c r="H112" s="121">
        <v>46131</v>
      </c>
      <c r="I112" s="120" t="s">
        <v>200</v>
      </c>
      <c r="J112" s="152">
        <v>140</v>
      </c>
      <c r="K112" s="28" t="s">
        <v>620</v>
      </c>
    </row>
    <row r="113" spans="1:18" x14ac:dyDescent="0.25">
      <c r="D113" s="138" t="s">
        <v>701</v>
      </c>
      <c r="G113" t="s">
        <v>391</v>
      </c>
      <c r="P113">
        <v>1</v>
      </c>
    </row>
    <row r="114" spans="1:18" x14ac:dyDescent="0.25">
      <c r="D114" t="s">
        <v>682</v>
      </c>
      <c r="G114" t="s">
        <v>391</v>
      </c>
      <c r="I114" t="s">
        <v>195</v>
      </c>
      <c r="P114">
        <v>1</v>
      </c>
    </row>
    <row r="115" spans="1:18" x14ac:dyDescent="0.25">
      <c r="A115" s="40"/>
      <c r="B115" s="40"/>
      <c r="C115" s="40"/>
      <c r="D115" s="40" t="s">
        <v>678</v>
      </c>
      <c r="E115" s="40"/>
      <c r="F115" s="40"/>
      <c r="G115" s="40" t="s">
        <v>391</v>
      </c>
      <c r="H115" s="122"/>
      <c r="I115" s="40" t="s">
        <v>195</v>
      </c>
      <c r="P115" s="41">
        <v>1</v>
      </c>
      <c r="R115" s="40">
        <v>1</v>
      </c>
    </row>
    <row r="116" spans="1:18" x14ac:dyDescent="0.25">
      <c r="B116" s="120" t="s">
        <v>581</v>
      </c>
      <c r="C116" s="120"/>
      <c r="D116" s="120" t="s">
        <v>584</v>
      </c>
      <c r="E116" s="120"/>
      <c r="F116" s="120" t="s">
        <v>288</v>
      </c>
      <c r="G116" s="120" t="s">
        <v>391</v>
      </c>
      <c r="H116" s="121"/>
      <c r="I116" s="120" t="s">
        <v>199</v>
      </c>
      <c r="K116" s="28" t="s">
        <v>626</v>
      </c>
      <c r="N116" s="126" t="s">
        <v>629</v>
      </c>
      <c r="O116" t="s">
        <v>630</v>
      </c>
      <c r="P116" s="120">
        <v>1</v>
      </c>
      <c r="Q116" s="120">
        <v>1</v>
      </c>
    </row>
    <row r="117" spans="1:18" x14ac:dyDescent="0.25">
      <c r="B117" t="s">
        <v>581</v>
      </c>
      <c r="D117" s="151" t="s">
        <v>713</v>
      </c>
      <c r="G117" t="s">
        <v>391</v>
      </c>
      <c r="I117" t="s">
        <v>625</v>
      </c>
      <c r="J117" s="152">
        <v>58.16</v>
      </c>
      <c r="Q117">
        <v>1</v>
      </c>
      <c r="R117">
        <v>1</v>
      </c>
    </row>
    <row r="118" spans="1:18" x14ac:dyDescent="0.25">
      <c r="B118" s="120" t="s">
        <v>581</v>
      </c>
      <c r="C118" s="120"/>
      <c r="D118" s="139" t="s">
        <v>627</v>
      </c>
      <c r="E118" s="120"/>
      <c r="F118" s="120"/>
      <c r="G118" s="120" t="s">
        <v>503</v>
      </c>
      <c r="H118" s="121"/>
      <c r="I118" s="120" t="s">
        <v>198</v>
      </c>
      <c r="J118" s="152">
        <v>52.87</v>
      </c>
      <c r="K118" s="28" t="s">
        <v>628</v>
      </c>
      <c r="P118" s="120">
        <v>1</v>
      </c>
      <c r="Q118" s="120">
        <v>1</v>
      </c>
    </row>
    <row r="119" spans="1:18" x14ac:dyDescent="0.25">
      <c r="B119" s="120"/>
      <c r="C119" s="120"/>
      <c r="D119" s="139" t="s">
        <v>702</v>
      </c>
      <c r="E119" s="120"/>
      <c r="F119" s="120"/>
      <c r="G119" s="120" t="s">
        <v>503</v>
      </c>
      <c r="H119" s="121"/>
      <c r="I119" s="120" t="s">
        <v>610</v>
      </c>
      <c r="J119" s="152">
        <v>26.43</v>
      </c>
      <c r="P119" s="120">
        <v>1</v>
      </c>
    </row>
    <row r="120" spans="1:18" x14ac:dyDescent="0.25">
      <c r="B120" t="s">
        <v>581</v>
      </c>
      <c r="D120" t="s">
        <v>602</v>
      </c>
      <c r="G120" t="s">
        <v>357</v>
      </c>
      <c r="I120" t="s">
        <v>198</v>
      </c>
      <c r="J120" s="152">
        <v>35</v>
      </c>
      <c r="K120" s="28" t="s">
        <v>621</v>
      </c>
      <c r="P120" s="41">
        <v>1</v>
      </c>
    </row>
    <row r="121" spans="1:18" x14ac:dyDescent="0.25">
      <c r="B121" t="s">
        <v>581</v>
      </c>
      <c r="D121" t="s">
        <v>603</v>
      </c>
      <c r="G121" t="s">
        <v>285</v>
      </c>
      <c r="I121" t="s">
        <v>613</v>
      </c>
      <c r="J121" s="152">
        <v>55</v>
      </c>
      <c r="K121" s="28" t="s">
        <v>564</v>
      </c>
      <c r="P121" s="40">
        <v>1</v>
      </c>
    </row>
    <row r="122" spans="1:18" x14ac:dyDescent="0.25">
      <c r="A122" s="40"/>
      <c r="B122" s="40" t="s">
        <v>581</v>
      </c>
      <c r="C122" s="40"/>
      <c r="D122" s="40" t="s">
        <v>604</v>
      </c>
      <c r="E122" s="40"/>
      <c r="F122" s="40"/>
      <c r="G122" s="40" t="s">
        <v>285</v>
      </c>
      <c r="H122" s="122"/>
      <c r="I122" s="40" t="s">
        <v>612</v>
      </c>
      <c r="J122" s="152">
        <v>60</v>
      </c>
      <c r="K122" s="28" t="s">
        <v>564</v>
      </c>
      <c r="P122" s="41">
        <v>1</v>
      </c>
      <c r="Q122" s="40">
        <v>1</v>
      </c>
    </row>
    <row r="123" spans="1:18" s="155" customFormat="1" x14ac:dyDescent="0.25">
      <c r="B123" s="155" t="s">
        <v>581</v>
      </c>
      <c r="D123" s="155" t="s">
        <v>605</v>
      </c>
      <c r="G123" s="155" t="s">
        <v>285</v>
      </c>
      <c r="H123" s="156"/>
      <c r="I123" s="155" t="s">
        <v>611</v>
      </c>
      <c r="J123" s="157">
        <v>35</v>
      </c>
      <c r="K123" s="158" t="s">
        <v>564</v>
      </c>
      <c r="M123" s="159"/>
      <c r="N123" s="160"/>
      <c r="P123" s="161">
        <v>1</v>
      </c>
    </row>
    <row r="124" spans="1:18" x14ac:dyDescent="0.25">
      <c r="A124" s="40"/>
      <c r="B124" s="40" t="s">
        <v>633</v>
      </c>
      <c r="C124" s="40"/>
      <c r="D124" s="40" t="s">
        <v>606</v>
      </c>
      <c r="E124" s="40"/>
      <c r="F124" s="40"/>
      <c r="G124" s="40" t="s">
        <v>281</v>
      </c>
      <c r="H124" s="122"/>
      <c r="I124" s="40" t="s">
        <v>195</v>
      </c>
      <c r="J124" s="152">
        <v>35</v>
      </c>
      <c r="K124" s="28" t="s">
        <v>562</v>
      </c>
      <c r="P124" s="41">
        <v>1</v>
      </c>
    </row>
    <row r="125" spans="1:18" x14ac:dyDescent="0.25">
      <c r="A125" s="40"/>
      <c r="B125" s="40" t="s">
        <v>581</v>
      </c>
      <c r="C125" s="40"/>
      <c r="D125" s="40" t="s">
        <v>598</v>
      </c>
      <c r="E125" s="40"/>
      <c r="F125" s="40" t="s">
        <v>288</v>
      </c>
      <c r="G125" s="40" t="s">
        <v>281</v>
      </c>
      <c r="H125" s="122"/>
      <c r="I125" s="40" t="s">
        <v>199</v>
      </c>
      <c r="K125" s="28" t="s">
        <v>562</v>
      </c>
      <c r="P125" s="40">
        <v>1</v>
      </c>
      <c r="Q125" s="40">
        <v>1</v>
      </c>
    </row>
    <row r="126" spans="1:18" x14ac:dyDescent="0.25">
      <c r="B126" t="s">
        <v>581</v>
      </c>
      <c r="D126" t="s">
        <v>608</v>
      </c>
      <c r="G126" t="s">
        <v>301</v>
      </c>
      <c r="I126" t="s">
        <v>195</v>
      </c>
      <c r="J126" s="152">
        <v>55</v>
      </c>
      <c r="K126" s="28" t="s">
        <v>561</v>
      </c>
      <c r="P126">
        <v>1</v>
      </c>
    </row>
    <row r="127" spans="1:18" x14ac:dyDescent="0.25">
      <c r="B127" t="s">
        <v>581</v>
      </c>
      <c r="D127" t="s">
        <v>609</v>
      </c>
      <c r="G127" t="s">
        <v>301</v>
      </c>
      <c r="I127" t="s">
        <v>610</v>
      </c>
      <c r="J127" s="152">
        <v>35</v>
      </c>
      <c r="K127" s="28" t="s">
        <v>561</v>
      </c>
      <c r="P127">
        <v>1</v>
      </c>
    </row>
    <row r="128" spans="1:18" x14ac:dyDescent="0.25">
      <c r="B128" t="s">
        <v>581</v>
      </c>
      <c r="D128" t="s">
        <v>614</v>
      </c>
      <c r="G128" t="s">
        <v>311</v>
      </c>
      <c r="I128" t="s">
        <v>615</v>
      </c>
      <c r="J128" s="152">
        <v>45</v>
      </c>
      <c r="K128" s="28" t="s">
        <v>618</v>
      </c>
      <c r="P128">
        <v>1</v>
      </c>
    </row>
    <row r="129" spans="2:16" x14ac:dyDescent="0.25">
      <c r="B129" t="s">
        <v>581</v>
      </c>
      <c r="D129" t="s">
        <v>616</v>
      </c>
      <c r="G129" t="s">
        <v>311</v>
      </c>
      <c r="I129" t="s">
        <v>195</v>
      </c>
      <c r="J129" s="152">
        <v>35</v>
      </c>
      <c r="K129" s="28" t="s">
        <v>618</v>
      </c>
      <c r="P129">
        <v>1</v>
      </c>
    </row>
    <row r="130" spans="2:16" x14ac:dyDescent="0.25">
      <c r="B130" t="s">
        <v>581</v>
      </c>
      <c r="D130" t="s">
        <v>617</v>
      </c>
      <c r="G130" t="s">
        <v>311</v>
      </c>
      <c r="I130" t="s">
        <v>610</v>
      </c>
      <c r="J130" s="152">
        <v>70</v>
      </c>
      <c r="K130" s="28" t="s">
        <v>618</v>
      </c>
      <c r="P130">
        <v>1</v>
      </c>
    </row>
    <row r="131" spans="2:16" s="40" customFormat="1" x14ac:dyDescent="0.25">
      <c r="B131" s="40" t="s">
        <v>673</v>
      </c>
      <c r="D131" s="40" t="s">
        <v>669</v>
      </c>
      <c r="E131" s="40" t="s">
        <v>670</v>
      </c>
      <c r="G131" s="40" t="s">
        <v>281</v>
      </c>
      <c r="H131" s="122"/>
      <c r="J131" s="154"/>
      <c r="K131" s="140"/>
      <c r="M131" s="141">
        <v>40000</v>
      </c>
      <c r="N131" s="142"/>
    </row>
    <row r="132" spans="2:16" x14ac:dyDescent="0.25">
      <c r="B132" t="s">
        <v>673</v>
      </c>
      <c r="D132" t="s">
        <v>671</v>
      </c>
      <c r="E132" t="s">
        <v>672</v>
      </c>
      <c r="G132" t="s">
        <v>301</v>
      </c>
    </row>
    <row r="133" spans="2:16" x14ac:dyDescent="0.25">
      <c r="B133" t="s">
        <v>673</v>
      </c>
      <c r="D133" t="s">
        <v>674</v>
      </c>
      <c r="G133" t="s">
        <v>675</v>
      </c>
      <c r="M133" s="2">
        <v>20000</v>
      </c>
    </row>
    <row r="134" spans="2:16" x14ac:dyDescent="0.25">
      <c r="B134" t="s">
        <v>673</v>
      </c>
      <c r="D134" t="s">
        <v>676</v>
      </c>
      <c r="G134" t="s">
        <v>289</v>
      </c>
    </row>
    <row r="135" spans="2:16" x14ac:dyDescent="0.25">
      <c r="B135" t="s">
        <v>673</v>
      </c>
      <c r="D135" t="s">
        <v>677</v>
      </c>
      <c r="G135" t="s">
        <v>304</v>
      </c>
    </row>
    <row r="136" spans="2:16" x14ac:dyDescent="0.25">
      <c r="B136" t="s">
        <v>703</v>
      </c>
      <c r="D136" t="s">
        <v>704</v>
      </c>
      <c r="F136" t="s">
        <v>708</v>
      </c>
      <c r="G136" t="s">
        <v>301</v>
      </c>
    </row>
    <row r="137" spans="2:16" x14ac:dyDescent="0.25">
      <c r="B137" t="s">
        <v>703</v>
      </c>
      <c r="D137" t="s">
        <v>707</v>
      </c>
      <c r="F137" t="s">
        <v>709</v>
      </c>
      <c r="G137" t="s">
        <v>311</v>
      </c>
    </row>
    <row r="138" spans="2:16" x14ac:dyDescent="0.25">
      <c r="B138" s="80" t="s">
        <v>703</v>
      </c>
      <c r="D138" t="s">
        <v>710</v>
      </c>
      <c r="F138" t="s">
        <v>711</v>
      </c>
      <c r="G138" t="s">
        <v>301</v>
      </c>
    </row>
    <row r="139" spans="2:16" x14ac:dyDescent="0.25">
      <c r="B139" t="s">
        <v>705</v>
      </c>
      <c r="D139" t="s">
        <v>706</v>
      </c>
      <c r="F139" t="s">
        <v>708</v>
      </c>
      <c r="G139" t="s">
        <v>285</v>
      </c>
    </row>
  </sheetData>
  <autoFilter ref="B3:R139" xr:uid="{CF7656F9-CF90-4B8D-A307-09ABC7F95197}"/>
  <hyperlinks>
    <hyperlink ref="D113" r:id="rId1" xr:uid="{CC25AC0E-5E5E-478B-97B6-E941DBF0D3B6}"/>
    <hyperlink ref="D118" r:id="rId2" xr:uid="{2151E375-AA8C-41EE-B358-DDF76F60A0DA}"/>
    <hyperlink ref="D119" r:id="rId3" xr:uid="{D8CBBA96-B243-47A9-BE03-2D84322A4F47}"/>
    <hyperlink ref="B138" r:id="rId4" xr:uid="{A110DA72-6F2D-4D37-8796-E37B63DCB46F}"/>
  </hyperlinks>
  <pageMargins left="0.7" right="0.7" top="0.75" bottom="0.75" header="0.3" footer="0.3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667B-17C6-409C-BA7A-8C2BF6A286CF}">
  <dimension ref="A1:BE135"/>
  <sheetViews>
    <sheetView showGridLines="0" tabSelected="1" workbookViewId="0">
      <pane xSplit="28" ySplit="3" topLeftCell="AC4" activePane="bottomRight" state="frozen"/>
      <selection pane="topRight" activeCell="AC1" sqref="AC1"/>
      <selection pane="bottomLeft" activeCell="A4" sqref="A4"/>
      <selection pane="bottomRight" activeCell="AY16" sqref="AY16"/>
    </sheetView>
  </sheetViews>
  <sheetFormatPr defaultRowHeight="15" customHeight="1" outlineLevelCol="1" x14ac:dyDescent="0.25"/>
  <cols>
    <col min="1" max="1" width="2.7109375" style="162" customWidth="1"/>
    <col min="2" max="2" width="8" style="167" customWidth="1"/>
    <col min="3" max="3" width="9" style="162" hidden="1" customWidth="1" outlineLevel="1"/>
    <col min="4" max="4" width="12" style="162" hidden="1" customWidth="1" outlineLevel="1"/>
    <col min="5" max="8" width="9" style="162" hidden="1" customWidth="1" outlineLevel="1"/>
    <col min="9" max="9" width="12" style="162" hidden="1" customWidth="1" outlineLevel="1"/>
    <col min="10" max="13" width="9" style="162" hidden="1" customWidth="1" outlineLevel="1"/>
    <col min="14" max="14" width="12" style="162" hidden="1" customWidth="1" outlineLevel="1"/>
    <col min="15" max="18" width="9" style="162" hidden="1" customWidth="1" outlineLevel="1"/>
    <col min="19" max="19" width="12" style="162" hidden="1" customWidth="1" outlineLevel="1"/>
    <col min="20" max="23" width="9" style="162" hidden="1" customWidth="1" outlineLevel="1"/>
    <col min="24" max="24" width="12" style="162" hidden="1" customWidth="1" outlineLevel="1"/>
    <col min="25" max="27" width="9" style="162" hidden="1" customWidth="1" outlineLevel="1"/>
    <col min="28" max="28" width="2.7109375" style="163" hidden="1" customWidth="1" outlineLevel="1"/>
    <col min="29" max="29" width="9" style="162" customWidth="1" collapsed="1"/>
    <col min="30" max="30" width="12" style="162" customWidth="1"/>
    <col min="31" max="33" width="9" style="162" customWidth="1"/>
    <col min="34" max="34" width="2.7109375" style="162" customWidth="1"/>
    <col min="35" max="35" width="9" style="162" customWidth="1"/>
    <col min="36" max="36" width="12" style="162" customWidth="1"/>
    <col min="37" max="39" width="9" style="162" customWidth="1"/>
    <col min="40" max="40" width="2.7109375" style="162" customWidth="1"/>
    <col min="41" max="41" width="9" style="162" customWidth="1"/>
    <col min="42" max="42" width="12" style="162" customWidth="1"/>
    <col min="43" max="45" width="9" style="162" customWidth="1"/>
    <col min="46" max="46" width="2.7109375" style="162" customWidth="1"/>
    <col min="47" max="47" width="9" style="162" customWidth="1"/>
    <col min="48" max="48" width="12" style="162" customWidth="1"/>
    <col min="49" max="51" width="9" style="162" customWidth="1"/>
    <col min="52" max="52" width="2.7109375" style="162" customWidth="1"/>
    <col min="53" max="53" width="9" style="162" customWidth="1"/>
    <col min="54" max="54" width="12" style="162" customWidth="1"/>
    <col min="55" max="57" width="9" style="162" customWidth="1"/>
    <col min="58" max="16384" width="9.140625" style="162"/>
  </cols>
  <sheetData>
    <row r="1" spans="2:57" ht="15" customHeight="1" x14ac:dyDescent="0.25"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</row>
    <row r="2" spans="2:57" s="167" customFormat="1" ht="15" customHeight="1" x14ac:dyDescent="0.25">
      <c r="C2" s="167" t="s">
        <v>201</v>
      </c>
      <c r="H2" s="167" t="s">
        <v>201</v>
      </c>
      <c r="M2" s="167" t="s">
        <v>205</v>
      </c>
      <c r="R2" s="167" t="s">
        <v>201</v>
      </c>
      <c r="W2" s="167" t="s">
        <v>206</v>
      </c>
      <c r="AB2" s="168"/>
      <c r="AC2" s="169" t="s">
        <v>201</v>
      </c>
      <c r="AD2" s="169"/>
      <c r="AE2" s="169"/>
      <c r="AF2" s="169"/>
      <c r="AG2" s="169"/>
      <c r="AH2" s="169"/>
      <c r="AI2" s="169" t="s">
        <v>201</v>
      </c>
      <c r="AJ2" s="169"/>
      <c r="AK2" s="169"/>
      <c r="AL2" s="169"/>
      <c r="AM2" s="169"/>
      <c r="AN2" s="169"/>
      <c r="AO2" s="169" t="s">
        <v>205</v>
      </c>
      <c r="AP2" s="169"/>
      <c r="AQ2" s="169"/>
      <c r="AR2" s="169"/>
      <c r="AS2" s="169"/>
      <c r="AT2" s="169"/>
      <c r="AU2" s="169" t="s">
        <v>201</v>
      </c>
      <c r="AV2" s="169"/>
      <c r="AW2" s="169"/>
      <c r="AX2" s="169"/>
      <c r="AY2" s="169"/>
      <c r="AZ2" s="169"/>
      <c r="BA2" s="169" t="s">
        <v>206</v>
      </c>
      <c r="BB2" s="169"/>
      <c r="BC2" s="169"/>
      <c r="BD2" s="169"/>
      <c r="BE2" s="169"/>
    </row>
    <row r="3" spans="2:57" s="167" customFormat="1" ht="15" customHeight="1" x14ac:dyDescent="0.25">
      <c r="B3" s="167" t="s">
        <v>257</v>
      </c>
      <c r="C3" s="167" t="s">
        <v>224</v>
      </c>
      <c r="D3" s="167" t="s">
        <v>217</v>
      </c>
      <c r="E3" s="167" t="s">
        <v>219</v>
      </c>
      <c r="F3" s="167" t="s">
        <v>222</v>
      </c>
      <c r="G3" s="167" t="s">
        <v>214</v>
      </c>
      <c r="H3" s="167" t="s">
        <v>224</v>
      </c>
      <c r="I3" s="167" t="s">
        <v>217</v>
      </c>
      <c r="J3" s="167" t="s">
        <v>219</v>
      </c>
      <c r="K3" s="167" t="s">
        <v>222</v>
      </c>
      <c r="L3" s="167" t="s">
        <v>214</v>
      </c>
      <c r="M3" s="167" t="s">
        <v>224</v>
      </c>
      <c r="N3" s="167" t="s">
        <v>217</v>
      </c>
      <c r="O3" s="167" t="s">
        <v>219</v>
      </c>
      <c r="P3" s="167" t="s">
        <v>222</v>
      </c>
      <c r="Q3" s="167" t="s">
        <v>214</v>
      </c>
      <c r="R3" s="167" t="s">
        <v>224</v>
      </c>
      <c r="S3" s="167" t="s">
        <v>217</v>
      </c>
      <c r="T3" s="167" t="s">
        <v>219</v>
      </c>
      <c r="U3" s="167" t="s">
        <v>222</v>
      </c>
      <c r="V3" s="167" t="s">
        <v>214</v>
      </c>
      <c r="W3" s="167" t="s">
        <v>224</v>
      </c>
      <c r="X3" s="167" t="s">
        <v>217</v>
      </c>
      <c r="Y3" s="167" t="s">
        <v>219</v>
      </c>
      <c r="Z3" s="167" t="s">
        <v>222</v>
      </c>
      <c r="AA3" s="167" t="s">
        <v>214</v>
      </c>
      <c r="AB3" s="168"/>
      <c r="AC3" s="169" t="s">
        <v>224</v>
      </c>
      <c r="AD3" s="169" t="s">
        <v>217</v>
      </c>
      <c r="AE3" s="169" t="s">
        <v>219</v>
      </c>
      <c r="AF3" s="169" t="s">
        <v>222</v>
      </c>
      <c r="AG3" s="169" t="s">
        <v>214</v>
      </c>
      <c r="AH3" s="169"/>
      <c r="AI3" s="169" t="s">
        <v>224</v>
      </c>
      <c r="AJ3" s="169" t="s">
        <v>217</v>
      </c>
      <c r="AK3" s="169" t="s">
        <v>219</v>
      </c>
      <c r="AL3" s="169" t="s">
        <v>222</v>
      </c>
      <c r="AM3" s="169" t="s">
        <v>214</v>
      </c>
      <c r="AN3" s="169"/>
      <c r="AO3" s="169" t="s">
        <v>224</v>
      </c>
      <c r="AP3" s="169" t="s">
        <v>217</v>
      </c>
      <c r="AQ3" s="169" t="s">
        <v>219</v>
      </c>
      <c r="AR3" s="169" t="s">
        <v>222</v>
      </c>
      <c r="AS3" s="169" t="s">
        <v>214</v>
      </c>
      <c r="AT3" s="169"/>
      <c r="AU3" s="169" t="s">
        <v>224</v>
      </c>
      <c r="AV3" s="169" t="s">
        <v>217</v>
      </c>
      <c r="AW3" s="169" t="s">
        <v>219</v>
      </c>
      <c r="AX3" s="169" t="s">
        <v>222</v>
      </c>
      <c r="AY3" s="169" t="s">
        <v>214</v>
      </c>
      <c r="AZ3" s="169"/>
      <c r="BA3" s="169" t="s">
        <v>224</v>
      </c>
      <c r="BB3" s="169" t="s">
        <v>217</v>
      </c>
      <c r="BC3" s="169" t="s">
        <v>219</v>
      </c>
      <c r="BD3" s="169" t="s">
        <v>222</v>
      </c>
      <c r="BE3" s="169" t="s">
        <v>214</v>
      </c>
    </row>
    <row r="4" spans="2:57" ht="15" customHeight="1" x14ac:dyDescent="0.25">
      <c r="B4" s="167" t="s">
        <v>716</v>
      </c>
      <c r="C4" s="162">
        <v>1</v>
      </c>
      <c r="D4" s="162" t="s">
        <v>201</v>
      </c>
      <c r="E4" s="165" t="s">
        <v>717</v>
      </c>
      <c r="F4" s="166">
        <v>1.77</v>
      </c>
      <c r="G4" s="165" t="s">
        <v>71</v>
      </c>
      <c r="H4" s="162">
        <v>1</v>
      </c>
      <c r="I4" s="162" t="s">
        <v>255</v>
      </c>
      <c r="J4" s="165" t="s">
        <v>223</v>
      </c>
      <c r="K4" s="166" t="s">
        <v>223</v>
      </c>
      <c r="L4" s="165" t="s">
        <v>227</v>
      </c>
      <c r="M4" s="162">
        <v>1</v>
      </c>
      <c r="N4" s="162" t="s">
        <v>201</v>
      </c>
      <c r="O4" s="165" t="s">
        <v>223</v>
      </c>
      <c r="P4" s="166">
        <v>3.2</v>
      </c>
      <c r="Q4" s="165" t="s">
        <v>223</v>
      </c>
      <c r="R4" s="162">
        <v>1</v>
      </c>
      <c r="S4" s="162" t="s">
        <v>201</v>
      </c>
      <c r="T4" s="165" t="s">
        <v>717</v>
      </c>
      <c r="U4" s="166">
        <v>1.24</v>
      </c>
      <c r="V4" s="165" t="s">
        <v>244</v>
      </c>
      <c r="W4" s="162">
        <v>1</v>
      </c>
      <c r="X4" s="162" t="s">
        <v>206</v>
      </c>
      <c r="Y4" s="165" t="s">
        <v>223</v>
      </c>
      <c r="Z4" s="166">
        <v>8</v>
      </c>
      <c r="AA4" s="165" t="s">
        <v>223</v>
      </c>
      <c r="AC4" s="162">
        <v>1</v>
      </c>
      <c r="AD4" s="170" t="s">
        <v>201</v>
      </c>
      <c r="AE4" s="165" t="s">
        <v>717</v>
      </c>
      <c r="AF4" s="166">
        <v>1.8</v>
      </c>
      <c r="AG4" s="165" t="s">
        <v>71</v>
      </c>
      <c r="AI4" s="162">
        <v>1</v>
      </c>
      <c r="AJ4" s="162" t="s">
        <v>255</v>
      </c>
      <c r="AK4" s="165" t="s">
        <v>223</v>
      </c>
      <c r="AL4" s="166" t="s">
        <v>223</v>
      </c>
      <c r="AM4" s="165" t="s">
        <v>227</v>
      </c>
      <c r="AO4" s="162">
        <v>1</v>
      </c>
      <c r="AP4" s="170" t="s">
        <v>201</v>
      </c>
      <c r="AQ4" s="165" t="s">
        <v>717</v>
      </c>
      <c r="AR4" s="166">
        <v>3.2</v>
      </c>
      <c r="AS4" s="165" t="s">
        <v>223</v>
      </c>
      <c r="AU4" s="162">
        <v>1</v>
      </c>
      <c r="AV4" s="170" t="s">
        <v>201</v>
      </c>
      <c r="AW4" s="165" t="s">
        <v>717</v>
      </c>
      <c r="AX4" s="166">
        <v>1.2</v>
      </c>
      <c r="AY4" s="165" t="s">
        <v>244</v>
      </c>
      <c r="BA4" s="162">
        <v>1</v>
      </c>
      <c r="BB4" s="162" t="s">
        <v>206</v>
      </c>
      <c r="BC4" s="165" t="s">
        <v>223</v>
      </c>
      <c r="BD4" s="166">
        <v>8</v>
      </c>
      <c r="BE4" s="165" t="s">
        <v>223</v>
      </c>
    </row>
    <row r="5" spans="2:57" ht="15" customHeight="1" x14ac:dyDescent="0.25">
      <c r="E5" s="165"/>
      <c r="F5" s="166"/>
      <c r="G5" s="165"/>
      <c r="H5" s="162">
        <v>8</v>
      </c>
      <c r="I5" s="162" t="s">
        <v>195</v>
      </c>
      <c r="J5" s="165" t="s">
        <v>659</v>
      </c>
      <c r="K5" s="166">
        <v>0.217</v>
      </c>
      <c r="L5" s="165" t="s">
        <v>225</v>
      </c>
      <c r="O5" s="165"/>
      <c r="P5" s="166"/>
      <c r="Q5" s="165"/>
      <c r="T5" s="165"/>
      <c r="U5" s="166"/>
      <c r="V5" s="165"/>
      <c r="Y5" s="165"/>
      <c r="Z5" s="166"/>
      <c r="AA5" s="165"/>
      <c r="AE5" s="165"/>
      <c r="AF5" s="166"/>
      <c r="AG5" s="165"/>
      <c r="AI5" s="162">
        <v>8</v>
      </c>
      <c r="AJ5" s="164" t="s">
        <v>195</v>
      </c>
      <c r="AK5" s="165" t="s">
        <v>659</v>
      </c>
      <c r="AL5" s="166">
        <v>0.2</v>
      </c>
      <c r="AM5" s="165" t="s">
        <v>225</v>
      </c>
      <c r="AQ5" s="165"/>
      <c r="AR5" s="166"/>
      <c r="AS5" s="165"/>
      <c r="AW5" s="165"/>
      <c r="AX5" s="166"/>
      <c r="AY5" s="165"/>
      <c r="BC5" s="165"/>
      <c r="BD5" s="166"/>
      <c r="BE5" s="165"/>
    </row>
    <row r="6" spans="2:57" ht="15" customHeight="1" x14ac:dyDescent="0.25">
      <c r="E6" s="165"/>
      <c r="F6" s="166"/>
      <c r="G6" s="165"/>
      <c r="H6" s="162">
        <v>7</v>
      </c>
      <c r="I6" s="162" t="s">
        <v>201</v>
      </c>
      <c r="J6" s="165" t="s">
        <v>717</v>
      </c>
      <c r="K6" s="166">
        <v>0.17699999999999999</v>
      </c>
      <c r="L6" s="165" t="s">
        <v>225</v>
      </c>
      <c r="O6" s="165"/>
      <c r="P6" s="166"/>
      <c r="Q6" s="165"/>
      <c r="T6" s="165"/>
      <c r="U6" s="166"/>
      <c r="V6" s="165"/>
      <c r="Y6" s="165"/>
      <c r="Z6" s="166"/>
      <c r="AA6" s="165"/>
      <c r="AE6" s="165"/>
      <c r="AF6" s="166"/>
      <c r="AG6" s="165"/>
      <c r="AJ6" s="170" t="s">
        <v>201</v>
      </c>
      <c r="AK6" s="165" t="s">
        <v>717</v>
      </c>
      <c r="AL6" s="166">
        <v>0.2</v>
      </c>
      <c r="AM6" s="165" t="s">
        <v>225</v>
      </c>
      <c r="AQ6" s="165"/>
      <c r="AR6" s="166"/>
      <c r="AS6" s="165"/>
      <c r="AW6" s="165"/>
      <c r="AX6" s="166"/>
      <c r="AY6" s="165"/>
      <c r="BC6" s="165"/>
      <c r="BD6" s="166"/>
      <c r="BE6" s="165"/>
    </row>
    <row r="7" spans="2:57" ht="15" customHeight="1" x14ac:dyDescent="0.25">
      <c r="B7" s="167" t="s">
        <v>720</v>
      </c>
      <c r="C7" s="162">
        <v>1</v>
      </c>
      <c r="D7" s="162" t="s">
        <v>201</v>
      </c>
      <c r="E7" s="165" t="s">
        <v>717</v>
      </c>
      <c r="F7" s="166">
        <v>2.12</v>
      </c>
      <c r="G7" s="165" t="s">
        <v>79</v>
      </c>
      <c r="H7" s="162">
        <v>1</v>
      </c>
      <c r="I7" s="162" t="s">
        <v>201</v>
      </c>
      <c r="J7" s="165" t="s">
        <v>223</v>
      </c>
      <c r="K7" s="166">
        <v>5</v>
      </c>
      <c r="L7" s="165" t="s">
        <v>223</v>
      </c>
      <c r="M7" s="162">
        <v>1</v>
      </c>
      <c r="N7" s="162" t="s">
        <v>255</v>
      </c>
      <c r="O7" s="165" t="s">
        <v>223</v>
      </c>
      <c r="P7" s="166" t="s">
        <v>223</v>
      </c>
      <c r="Q7" s="165" t="s">
        <v>227</v>
      </c>
      <c r="R7" s="162">
        <v>1</v>
      </c>
      <c r="S7" s="162" t="s">
        <v>201</v>
      </c>
      <c r="T7" s="165" t="s">
        <v>223</v>
      </c>
      <c r="U7" s="166">
        <v>1.6</v>
      </c>
      <c r="V7" s="165" t="s">
        <v>223</v>
      </c>
      <c r="W7" s="162">
        <v>1</v>
      </c>
      <c r="X7" s="162" t="s">
        <v>206</v>
      </c>
      <c r="Y7" s="165" t="s">
        <v>223</v>
      </c>
      <c r="Z7" s="166">
        <v>10</v>
      </c>
      <c r="AA7" s="165" t="s">
        <v>223</v>
      </c>
      <c r="AC7" s="162">
        <v>1</v>
      </c>
      <c r="AD7" s="170" t="s">
        <v>201</v>
      </c>
      <c r="AE7" s="165" t="s">
        <v>717</v>
      </c>
      <c r="AF7" s="166">
        <v>2.1</v>
      </c>
      <c r="AG7" s="165" t="s">
        <v>79</v>
      </c>
      <c r="AI7" s="162">
        <v>1</v>
      </c>
      <c r="AJ7" s="170" t="s">
        <v>201</v>
      </c>
      <c r="AK7" s="165" t="s">
        <v>717</v>
      </c>
      <c r="AL7" s="166">
        <v>5</v>
      </c>
      <c r="AM7" s="165" t="s">
        <v>223</v>
      </c>
      <c r="AO7" s="162">
        <v>1</v>
      </c>
      <c r="AP7" s="162" t="s">
        <v>255</v>
      </c>
      <c r="AQ7" s="165" t="s">
        <v>223</v>
      </c>
      <c r="AR7" s="166" t="s">
        <v>223</v>
      </c>
      <c r="AS7" s="165" t="s">
        <v>227</v>
      </c>
      <c r="AU7" s="162">
        <v>1</v>
      </c>
      <c r="AV7" s="170" t="s">
        <v>201</v>
      </c>
      <c r="AW7" s="165" t="s">
        <v>717</v>
      </c>
      <c r="AX7" s="166">
        <v>1.6</v>
      </c>
      <c r="AY7" s="165" t="s">
        <v>223</v>
      </c>
      <c r="BA7" s="162">
        <v>1</v>
      </c>
      <c r="BB7" s="162" t="s">
        <v>206</v>
      </c>
      <c r="BC7" s="165" t="s">
        <v>223</v>
      </c>
      <c r="BD7" s="166">
        <v>10</v>
      </c>
      <c r="BE7" s="165" t="s">
        <v>223</v>
      </c>
    </row>
    <row r="8" spans="2:57" ht="15" customHeight="1" x14ac:dyDescent="0.25">
      <c r="E8" s="165"/>
      <c r="F8" s="166"/>
      <c r="G8" s="165"/>
      <c r="J8" s="165"/>
      <c r="K8" s="166"/>
      <c r="L8" s="165"/>
      <c r="M8" s="162">
        <v>1</v>
      </c>
      <c r="N8" s="162" t="s">
        <v>195</v>
      </c>
      <c r="O8" s="165" t="s">
        <v>659</v>
      </c>
      <c r="P8" s="166">
        <v>0.217</v>
      </c>
      <c r="Q8" s="165" t="s">
        <v>225</v>
      </c>
      <c r="T8" s="165"/>
      <c r="U8" s="166"/>
      <c r="V8" s="165"/>
      <c r="Y8" s="165"/>
      <c r="Z8" s="166"/>
      <c r="AA8" s="165"/>
      <c r="AE8" s="165"/>
      <c r="AF8" s="166"/>
      <c r="AG8" s="165"/>
      <c r="AK8" s="165"/>
      <c r="AL8" s="166"/>
      <c r="AM8" s="165"/>
      <c r="AO8" s="162">
        <v>1</v>
      </c>
      <c r="AP8" s="164" t="s">
        <v>195</v>
      </c>
      <c r="AQ8" s="165" t="s">
        <v>659</v>
      </c>
      <c r="AR8" s="166">
        <v>0.2</v>
      </c>
      <c r="AS8" s="165" t="s">
        <v>225</v>
      </c>
      <c r="AW8" s="165"/>
      <c r="AX8" s="166"/>
      <c r="AY8" s="165"/>
      <c r="BC8" s="165"/>
      <c r="BD8" s="166"/>
      <c r="BE8" s="165"/>
    </row>
    <row r="9" spans="2:57" ht="15" customHeight="1" x14ac:dyDescent="0.25">
      <c r="E9" s="165"/>
      <c r="F9" s="166"/>
      <c r="G9" s="165"/>
      <c r="J9" s="165"/>
      <c r="K9" s="166"/>
      <c r="L9" s="165"/>
      <c r="M9" s="162">
        <v>1</v>
      </c>
      <c r="N9" s="162" t="s">
        <v>201</v>
      </c>
      <c r="O9" s="165" t="s">
        <v>717</v>
      </c>
      <c r="P9" s="166">
        <v>0.17699999999999999</v>
      </c>
      <c r="Q9" s="165" t="s">
        <v>225</v>
      </c>
      <c r="T9" s="165"/>
      <c r="U9" s="166"/>
      <c r="V9" s="165"/>
      <c r="Y9" s="165"/>
      <c r="Z9" s="166"/>
      <c r="AA9" s="165"/>
      <c r="AE9" s="165"/>
      <c r="AF9" s="166"/>
      <c r="AG9" s="165"/>
      <c r="AK9" s="165"/>
      <c r="AL9" s="166"/>
      <c r="AM9" s="165"/>
      <c r="AP9" s="170" t="s">
        <v>201</v>
      </c>
      <c r="AQ9" s="165" t="s">
        <v>717</v>
      </c>
      <c r="AR9" s="166">
        <v>0.2</v>
      </c>
      <c r="AS9" s="165" t="s">
        <v>225</v>
      </c>
      <c r="AW9" s="165"/>
      <c r="AX9" s="166"/>
      <c r="AY9" s="165"/>
      <c r="BC9" s="165"/>
      <c r="BD9" s="166"/>
      <c r="BE9" s="165"/>
    </row>
    <row r="10" spans="2:57" ht="15" customHeight="1" x14ac:dyDescent="0.25">
      <c r="E10" s="165"/>
      <c r="F10" s="166"/>
      <c r="G10" s="165"/>
      <c r="J10" s="165"/>
      <c r="K10" s="166"/>
      <c r="L10" s="165"/>
      <c r="M10" s="162">
        <v>1</v>
      </c>
      <c r="N10" s="162" t="s">
        <v>198</v>
      </c>
      <c r="O10" s="165" t="s">
        <v>719</v>
      </c>
      <c r="P10" s="166">
        <v>0.42</v>
      </c>
      <c r="Q10" s="165" t="s">
        <v>228</v>
      </c>
      <c r="T10" s="165"/>
      <c r="U10" s="166"/>
      <c r="V10" s="165"/>
      <c r="Y10" s="165"/>
      <c r="Z10" s="166"/>
      <c r="AA10" s="165"/>
      <c r="AE10" s="165"/>
      <c r="AF10" s="166"/>
      <c r="AG10" s="165"/>
      <c r="AK10" s="165"/>
      <c r="AL10" s="166"/>
      <c r="AM10" s="165"/>
      <c r="AO10" s="162">
        <v>1</v>
      </c>
      <c r="AP10" s="171" t="s">
        <v>198</v>
      </c>
      <c r="AQ10" s="165" t="s">
        <v>719</v>
      </c>
      <c r="AR10" s="166">
        <v>0.4</v>
      </c>
      <c r="AS10" s="165" t="s">
        <v>228</v>
      </c>
      <c r="AW10" s="165"/>
      <c r="AX10" s="166"/>
      <c r="AY10" s="165"/>
      <c r="BC10" s="165"/>
      <c r="BD10" s="166"/>
      <c r="BE10" s="165"/>
    </row>
    <row r="11" spans="2:57" ht="15" customHeight="1" x14ac:dyDescent="0.25">
      <c r="E11" s="165"/>
      <c r="F11" s="166"/>
      <c r="G11" s="165"/>
      <c r="J11" s="165"/>
      <c r="K11" s="166"/>
      <c r="L11" s="165"/>
      <c r="M11" s="162">
        <v>1</v>
      </c>
      <c r="N11" s="162" t="s">
        <v>201</v>
      </c>
      <c r="O11" s="165" t="s">
        <v>717</v>
      </c>
      <c r="P11" s="166">
        <v>0.17699999999999999</v>
      </c>
      <c r="Q11" s="165" t="s">
        <v>225</v>
      </c>
      <c r="T11" s="165"/>
      <c r="U11" s="166"/>
      <c r="V11" s="165"/>
      <c r="Y11" s="165"/>
      <c r="Z11" s="166"/>
      <c r="AA11" s="165"/>
      <c r="AE11" s="165"/>
      <c r="AF11" s="166"/>
      <c r="AG11" s="165"/>
      <c r="AK11" s="165"/>
      <c r="AL11" s="166"/>
      <c r="AM11" s="165"/>
      <c r="AP11" s="170" t="s">
        <v>201</v>
      </c>
      <c r="AQ11" s="165" t="s">
        <v>717</v>
      </c>
      <c r="AR11" s="166">
        <v>0.2</v>
      </c>
      <c r="AS11" s="165" t="s">
        <v>225</v>
      </c>
      <c r="AW11" s="165"/>
      <c r="AX11" s="166"/>
      <c r="AY11" s="165"/>
      <c r="BC11" s="165"/>
      <c r="BD11" s="166"/>
      <c r="BE11" s="165"/>
    </row>
    <row r="12" spans="2:57" ht="15" customHeight="1" x14ac:dyDescent="0.25">
      <c r="E12" s="165"/>
      <c r="F12" s="166"/>
      <c r="G12" s="165"/>
      <c r="J12" s="165"/>
      <c r="K12" s="166"/>
      <c r="L12" s="165"/>
      <c r="M12" s="162">
        <v>1</v>
      </c>
      <c r="N12" s="162" t="s">
        <v>195</v>
      </c>
      <c r="O12" s="165" t="s">
        <v>659</v>
      </c>
      <c r="P12" s="166">
        <v>0.217</v>
      </c>
      <c r="Q12" s="165" t="s">
        <v>225</v>
      </c>
      <c r="T12" s="165"/>
      <c r="U12" s="166"/>
      <c r="V12" s="165"/>
      <c r="Y12" s="165"/>
      <c r="Z12" s="166"/>
      <c r="AA12" s="165"/>
      <c r="AE12" s="165"/>
      <c r="AF12" s="166"/>
      <c r="AG12" s="165"/>
      <c r="AK12" s="165"/>
      <c r="AL12" s="166"/>
      <c r="AM12" s="165"/>
      <c r="AO12" s="162">
        <v>1</v>
      </c>
      <c r="AP12" s="164" t="s">
        <v>195</v>
      </c>
      <c r="AQ12" s="165" t="s">
        <v>659</v>
      </c>
      <c r="AR12" s="166">
        <v>0.2</v>
      </c>
      <c r="AS12" s="165" t="s">
        <v>225</v>
      </c>
      <c r="AW12" s="165"/>
      <c r="AX12" s="166"/>
      <c r="AY12" s="165"/>
      <c r="BC12" s="165"/>
      <c r="BD12" s="166"/>
      <c r="BE12" s="165"/>
    </row>
    <row r="13" spans="2:57" ht="15" customHeight="1" x14ac:dyDescent="0.25">
      <c r="E13" s="165"/>
      <c r="F13" s="166"/>
      <c r="G13" s="165"/>
      <c r="J13" s="165"/>
      <c r="K13" s="166"/>
      <c r="L13" s="165"/>
      <c r="M13" s="162">
        <v>1</v>
      </c>
      <c r="N13" s="162" t="s">
        <v>201</v>
      </c>
      <c r="O13" s="165" t="s">
        <v>717</v>
      </c>
      <c r="P13" s="166">
        <v>0.17699999999999999</v>
      </c>
      <c r="Q13" s="165" t="s">
        <v>225</v>
      </c>
      <c r="T13" s="165"/>
      <c r="U13" s="166"/>
      <c r="V13" s="165"/>
      <c r="Y13" s="165"/>
      <c r="Z13" s="166"/>
      <c r="AA13" s="165"/>
      <c r="AE13" s="165"/>
      <c r="AF13" s="166"/>
      <c r="AG13" s="165"/>
      <c r="AK13" s="165"/>
      <c r="AL13" s="166"/>
      <c r="AM13" s="165"/>
      <c r="AP13" s="170" t="s">
        <v>201</v>
      </c>
      <c r="AQ13" s="165" t="s">
        <v>717</v>
      </c>
      <c r="AR13" s="166">
        <v>0.2</v>
      </c>
      <c r="AS13" s="165" t="s">
        <v>225</v>
      </c>
      <c r="AW13" s="165"/>
      <c r="AX13" s="166"/>
      <c r="AY13" s="165"/>
      <c r="BC13" s="165"/>
      <c r="BD13" s="166"/>
      <c r="BE13" s="165"/>
    </row>
    <row r="14" spans="2:57" ht="15" customHeight="1" x14ac:dyDescent="0.25">
      <c r="E14" s="165"/>
      <c r="F14" s="166"/>
      <c r="G14" s="165"/>
      <c r="J14" s="165"/>
      <c r="K14" s="166"/>
      <c r="L14" s="165"/>
      <c r="M14" s="162">
        <v>2</v>
      </c>
      <c r="N14" s="162" t="s">
        <v>241</v>
      </c>
      <c r="O14" s="165" t="s">
        <v>718</v>
      </c>
      <c r="P14" s="166">
        <v>0.17</v>
      </c>
      <c r="Q14" s="165" t="s">
        <v>229</v>
      </c>
      <c r="T14" s="165"/>
      <c r="U14" s="166"/>
      <c r="V14" s="165"/>
      <c r="Y14" s="165"/>
      <c r="Z14" s="166"/>
      <c r="AA14" s="165"/>
      <c r="AE14" s="165"/>
      <c r="AF14" s="166"/>
      <c r="AG14" s="165"/>
      <c r="AK14" s="165"/>
      <c r="AL14" s="166"/>
      <c r="AM14" s="165"/>
      <c r="AO14" s="162">
        <v>2</v>
      </c>
      <c r="AP14" s="174" t="s">
        <v>241</v>
      </c>
      <c r="AQ14" s="165" t="s">
        <v>718</v>
      </c>
      <c r="AR14" s="166">
        <v>0.2</v>
      </c>
      <c r="AS14" s="165" t="s">
        <v>229</v>
      </c>
      <c r="AW14" s="165"/>
      <c r="AX14" s="166"/>
      <c r="AY14" s="165"/>
      <c r="BC14" s="165"/>
      <c r="BD14" s="166"/>
      <c r="BE14" s="165"/>
    </row>
    <row r="15" spans="2:57" ht="15" customHeight="1" x14ac:dyDescent="0.25">
      <c r="E15" s="165"/>
      <c r="F15" s="166"/>
      <c r="G15" s="165"/>
      <c r="J15" s="165"/>
      <c r="K15" s="166"/>
      <c r="L15" s="165"/>
      <c r="M15" s="162">
        <v>2</v>
      </c>
      <c r="N15" s="162" t="s">
        <v>201</v>
      </c>
      <c r="O15" s="165" t="s">
        <v>717</v>
      </c>
      <c r="P15" s="166">
        <v>0.17699999999999999</v>
      </c>
      <c r="Q15" s="165" t="s">
        <v>225</v>
      </c>
      <c r="T15" s="165"/>
      <c r="U15" s="166"/>
      <c r="V15" s="165"/>
      <c r="Y15" s="165"/>
      <c r="Z15" s="166"/>
      <c r="AA15" s="165"/>
      <c r="AE15" s="165"/>
      <c r="AF15" s="166"/>
      <c r="AG15" s="165"/>
      <c r="AK15" s="165"/>
      <c r="AL15" s="166"/>
      <c r="AM15" s="165"/>
      <c r="AP15" s="170" t="s">
        <v>201</v>
      </c>
      <c r="AQ15" s="165" t="s">
        <v>717</v>
      </c>
      <c r="AR15" s="166">
        <v>0.2</v>
      </c>
      <c r="AS15" s="165" t="s">
        <v>225</v>
      </c>
      <c r="AW15" s="165"/>
      <c r="AX15" s="166"/>
      <c r="AY15" s="165"/>
      <c r="BC15" s="165"/>
      <c r="BD15" s="166"/>
      <c r="BE15" s="165"/>
    </row>
    <row r="16" spans="2:57" ht="15" customHeight="1" x14ac:dyDescent="0.25">
      <c r="E16" s="165"/>
      <c r="F16" s="166"/>
      <c r="G16" s="165"/>
      <c r="J16" s="165"/>
      <c r="K16" s="166"/>
      <c r="L16" s="165"/>
      <c r="M16" s="162">
        <v>1</v>
      </c>
      <c r="N16" s="162" t="s">
        <v>198</v>
      </c>
      <c r="O16" s="165" t="s">
        <v>719</v>
      </c>
      <c r="P16" s="166">
        <v>0.42</v>
      </c>
      <c r="Q16" s="165" t="s">
        <v>228</v>
      </c>
      <c r="T16" s="165"/>
      <c r="U16" s="166"/>
      <c r="V16" s="165"/>
      <c r="Y16" s="165"/>
      <c r="Z16" s="166"/>
      <c r="AA16" s="165"/>
      <c r="AE16" s="165"/>
      <c r="AF16" s="166"/>
      <c r="AG16" s="165"/>
      <c r="AK16" s="165"/>
      <c r="AL16" s="166"/>
      <c r="AM16" s="165"/>
      <c r="AO16" s="162">
        <v>1</v>
      </c>
      <c r="AP16" s="171" t="s">
        <v>198</v>
      </c>
      <c r="AQ16" s="165" t="s">
        <v>719</v>
      </c>
      <c r="AR16" s="166">
        <v>0.4</v>
      </c>
      <c r="AS16" s="165" t="s">
        <v>228</v>
      </c>
      <c r="AW16" s="165"/>
      <c r="AX16" s="166"/>
      <c r="AY16" s="165"/>
      <c r="BC16" s="165"/>
      <c r="BD16" s="166"/>
      <c r="BE16" s="165"/>
    </row>
    <row r="17" spans="2:57" ht="15" customHeight="1" x14ac:dyDescent="0.25">
      <c r="E17" s="165"/>
      <c r="F17" s="166"/>
      <c r="G17" s="165"/>
      <c r="J17" s="165"/>
      <c r="K17" s="166"/>
      <c r="L17" s="165"/>
      <c r="M17" s="162">
        <v>1</v>
      </c>
      <c r="N17" s="162" t="s">
        <v>201</v>
      </c>
      <c r="O17" s="165" t="s">
        <v>717</v>
      </c>
      <c r="P17" s="166">
        <v>0.17699999999999999</v>
      </c>
      <c r="Q17" s="165" t="s">
        <v>225</v>
      </c>
      <c r="T17" s="165"/>
      <c r="U17" s="166"/>
      <c r="V17" s="165"/>
      <c r="Y17" s="165"/>
      <c r="Z17" s="166"/>
      <c r="AA17" s="165"/>
      <c r="AE17" s="165"/>
      <c r="AF17" s="166"/>
      <c r="AG17" s="165"/>
      <c r="AK17" s="165"/>
      <c r="AL17" s="166"/>
      <c r="AM17" s="165"/>
      <c r="AP17" s="170" t="s">
        <v>201</v>
      </c>
      <c r="AQ17" s="165" t="s">
        <v>717</v>
      </c>
      <c r="AR17" s="166">
        <v>0.2</v>
      </c>
      <c r="AS17" s="165" t="s">
        <v>225</v>
      </c>
      <c r="AW17" s="165"/>
      <c r="AX17" s="166"/>
      <c r="AY17" s="165"/>
      <c r="BC17" s="165"/>
      <c r="BD17" s="166"/>
      <c r="BE17" s="165"/>
    </row>
    <row r="18" spans="2:57" ht="15" customHeight="1" x14ac:dyDescent="0.25">
      <c r="E18" s="165"/>
      <c r="F18" s="166"/>
      <c r="G18" s="165"/>
      <c r="J18" s="165"/>
      <c r="K18" s="166"/>
      <c r="L18" s="165"/>
      <c r="M18" s="162">
        <v>1</v>
      </c>
      <c r="N18" s="162" t="s">
        <v>195</v>
      </c>
      <c r="O18" s="165" t="s">
        <v>659</v>
      </c>
      <c r="P18" s="166">
        <v>0.217</v>
      </c>
      <c r="Q18" s="165" t="s">
        <v>225</v>
      </c>
      <c r="T18" s="165"/>
      <c r="U18" s="166"/>
      <c r="V18" s="165"/>
      <c r="Y18" s="165"/>
      <c r="Z18" s="166"/>
      <c r="AA18" s="165"/>
      <c r="AE18" s="165"/>
      <c r="AF18" s="166"/>
      <c r="AG18" s="165"/>
      <c r="AK18" s="165"/>
      <c r="AL18" s="166"/>
      <c r="AM18" s="165"/>
      <c r="AO18" s="162">
        <v>1</v>
      </c>
      <c r="AP18" s="164" t="s">
        <v>195</v>
      </c>
      <c r="AQ18" s="165" t="s">
        <v>659</v>
      </c>
      <c r="AR18" s="166">
        <v>0.2</v>
      </c>
      <c r="AS18" s="165" t="s">
        <v>225</v>
      </c>
      <c r="AW18" s="165"/>
      <c r="AX18" s="166"/>
      <c r="AY18" s="165"/>
      <c r="BC18" s="165"/>
      <c r="BD18" s="166"/>
      <c r="BE18" s="165"/>
    </row>
    <row r="19" spans="2:57" ht="15" customHeight="1" x14ac:dyDescent="0.25">
      <c r="E19" s="165"/>
      <c r="F19" s="166"/>
      <c r="G19" s="165"/>
      <c r="J19" s="165"/>
      <c r="K19" s="166"/>
      <c r="L19" s="165"/>
      <c r="M19" s="162">
        <v>1</v>
      </c>
      <c r="N19" s="162" t="s">
        <v>201</v>
      </c>
      <c r="O19" s="165" t="s">
        <v>717</v>
      </c>
      <c r="P19" s="166">
        <v>0.17699999999999999</v>
      </c>
      <c r="Q19" s="165" t="s">
        <v>225</v>
      </c>
      <c r="T19" s="165"/>
      <c r="U19" s="166"/>
      <c r="V19" s="165"/>
      <c r="Y19" s="165"/>
      <c r="Z19" s="166"/>
      <c r="AA19" s="165"/>
      <c r="AE19" s="165"/>
      <c r="AF19" s="166"/>
      <c r="AG19" s="165"/>
      <c r="AK19" s="165"/>
      <c r="AL19" s="166"/>
      <c r="AM19" s="165"/>
      <c r="AP19" s="170" t="s">
        <v>201</v>
      </c>
      <c r="AQ19" s="165" t="s">
        <v>717</v>
      </c>
      <c r="AR19" s="166">
        <v>0.2</v>
      </c>
      <c r="AS19" s="165" t="s">
        <v>225</v>
      </c>
      <c r="AW19" s="165"/>
      <c r="AX19" s="166"/>
      <c r="AY19" s="165"/>
      <c r="BC19" s="165"/>
      <c r="BD19" s="166"/>
      <c r="BE19" s="165"/>
    </row>
    <row r="20" spans="2:57" ht="15" customHeight="1" x14ac:dyDescent="0.25">
      <c r="E20" s="165"/>
      <c r="F20" s="166"/>
      <c r="G20" s="165"/>
      <c r="J20" s="165"/>
      <c r="K20" s="166"/>
      <c r="L20" s="165"/>
      <c r="M20" s="162">
        <v>1</v>
      </c>
      <c r="N20" s="162" t="s">
        <v>241</v>
      </c>
      <c r="O20" s="165" t="s">
        <v>718</v>
      </c>
      <c r="P20" s="166">
        <v>0.17</v>
      </c>
      <c r="Q20" s="165" t="s">
        <v>229</v>
      </c>
      <c r="T20" s="165"/>
      <c r="U20" s="166"/>
      <c r="V20" s="165"/>
      <c r="Y20" s="165"/>
      <c r="Z20" s="166"/>
      <c r="AA20" s="165"/>
      <c r="AE20" s="165"/>
      <c r="AF20" s="166"/>
      <c r="AG20" s="165"/>
      <c r="AK20" s="165"/>
      <c r="AL20" s="166"/>
      <c r="AM20" s="165"/>
      <c r="AO20" s="162">
        <v>1</v>
      </c>
      <c r="AP20" s="174" t="s">
        <v>241</v>
      </c>
      <c r="AQ20" s="165" t="s">
        <v>718</v>
      </c>
      <c r="AR20" s="166">
        <v>0.15</v>
      </c>
      <c r="AS20" s="165" t="s">
        <v>229</v>
      </c>
      <c r="AW20" s="165"/>
      <c r="AX20" s="166"/>
      <c r="AY20" s="165"/>
      <c r="BC20" s="165"/>
      <c r="BD20" s="166"/>
      <c r="BE20" s="165"/>
    </row>
    <row r="21" spans="2:57" ht="15" customHeight="1" x14ac:dyDescent="0.25">
      <c r="E21" s="165"/>
      <c r="F21" s="166"/>
      <c r="G21" s="165"/>
      <c r="J21" s="165"/>
      <c r="K21" s="166"/>
      <c r="L21" s="165"/>
      <c r="M21" s="162">
        <v>1</v>
      </c>
      <c r="N21" s="162" t="s">
        <v>201</v>
      </c>
      <c r="O21" s="165" t="s">
        <v>717</v>
      </c>
      <c r="P21" s="166">
        <v>0.17699999999999999</v>
      </c>
      <c r="Q21" s="165" t="s">
        <v>225</v>
      </c>
      <c r="T21" s="165"/>
      <c r="U21" s="166"/>
      <c r="V21" s="165"/>
      <c r="Y21" s="165"/>
      <c r="Z21" s="166"/>
      <c r="AA21" s="165"/>
      <c r="AE21" s="165"/>
      <c r="AF21" s="166"/>
      <c r="AG21" s="165"/>
      <c r="AK21" s="165"/>
      <c r="AL21" s="166"/>
      <c r="AM21" s="165"/>
      <c r="AP21" s="170" t="s">
        <v>201</v>
      </c>
      <c r="AQ21" s="165" t="s">
        <v>717</v>
      </c>
      <c r="AR21" s="166">
        <v>0.2</v>
      </c>
      <c r="AS21" s="165" t="s">
        <v>225</v>
      </c>
      <c r="AW21" s="165"/>
      <c r="AX21" s="166"/>
      <c r="AY21" s="165"/>
      <c r="BC21" s="165"/>
      <c r="BD21" s="166"/>
      <c r="BE21" s="165"/>
    </row>
    <row r="22" spans="2:57" ht="15" customHeight="1" x14ac:dyDescent="0.25">
      <c r="E22" s="165"/>
      <c r="F22" s="166"/>
      <c r="G22" s="165"/>
      <c r="J22" s="165"/>
      <c r="K22" s="166"/>
      <c r="L22" s="165"/>
      <c r="M22" s="162">
        <v>1</v>
      </c>
      <c r="N22" s="162" t="s">
        <v>203</v>
      </c>
      <c r="O22" s="165" t="s">
        <v>715</v>
      </c>
      <c r="P22" s="166">
        <v>0.11899999999999999</v>
      </c>
      <c r="Q22" s="165" t="s">
        <v>230</v>
      </c>
      <c r="T22" s="165"/>
      <c r="U22" s="166"/>
      <c r="V22" s="165"/>
      <c r="Y22" s="165"/>
      <c r="Z22" s="166"/>
      <c r="AA22" s="165"/>
      <c r="AE22" s="165"/>
      <c r="AF22" s="166"/>
      <c r="AG22" s="165"/>
      <c r="AK22" s="165"/>
      <c r="AL22" s="166"/>
      <c r="AM22" s="165"/>
      <c r="AO22" s="162">
        <v>1</v>
      </c>
      <c r="AP22" s="172" t="s">
        <v>203</v>
      </c>
      <c r="AQ22" s="165" t="s">
        <v>715</v>
      </c>
      <c r="AR22" s="166">
        <v>0.1</v>
      </c>
      <c r="AS22" s="165" t="s">
        <v>230</v>
      </c>
      <c r="AW22" s="165"/>
      <c r="AX22" s="166"/>
      <c r="AY22" s="165"/>
      <c r="BC22" s="165"/>
      <c r="BD22" s="166"/>
      <c r="BE22" s="165"/>
    </row>
    <row r="23" spans="2:57" ht="15" customHeight="1" x14ac:dyDescent="0.25">
      <c r="E23" s="165"/>
      <c r="F23" s="166"/>
      <c r="G23" s="165"/>
      <c r="J23" s="165"/>
      <c r="K23" s="166"/>
      <c r="L23" s="165"/>
      <c r="M23" s="162">
        <v>1</v>
      </c>
      <c r="N23" s="162" t="s">
        <v>201</v>
      </c>
      <c r="O23" s="165" t="s">
        <v>717</v>
      </c>
      <c r="P23" s="166">
        <v>0.17699999999999999</v>
      </c>
      <c r="Q23" s="165" t="s">
        <v>225</v>
      </c>
      <c r="T23" s="165"/>
      <c r="U23" s="166"/>
      <c r="V23" s="165"/>
      <c r="Y23" s="165"/>
      <c r="Z23" s="166"/>
      <c r="AA23" s="165"/>
      <c r="AE23" s="165"/>
      <c r="AF23" s="166"/>
      <c r="AG23" s="165"/>
      <c r="AK23" s="165"/>
      <c r="AL23" s="166"/>
      <c r="AM23" s="165"/>
      <c r="AP23" s="170" t="s">
        <v>201</v>
      </c>
      <c r="AQ23" s="165" t="s">
        <v>717</v>
      </c>
      <c r="AR23" s="166">
        <v>0.2</v>
      </c>
      <c r="AS23" s="165" t="s">
        <v>225</v>
      </c>
      <c r="AW23" s="165"/>
      <c r="AX23" s="166"/>
      <c r="AY23" s="165"/>
      <c r="BC23" s="165"/>
      <c r="BD23" s="166"/>
      <c r="BE23" s="165"/>
    </row>
    <row r="24" spans="2:57" ht="15" customHeight="1" x14ac:dyDescent="0.25">
      <c r="E24" s="165"/>
      <c r="F24" s="166"/>
      <c r="G24" s="165"/>
      <c r="J24" s="165"/>
      <c r="K24" s="166"/>
      <c r="L24" s="165"/>
      <c r="M24" s="162">
        <v>1</v>
      </c>
      <c r="N24" s="162" t="s">
        <v>203</v>
      </c>
      <c r="O24" s="165" t="s">
        <v>715</v>
      </c>
      <c r="P24" s="166">
        <v>5.8999999999999997E-2</v>
      </c>
      <c r="Q24" s="165" t="s">
        <v>231</v>
      </c>
      <c r="T24" s="165"/>
      <c r="U24" s="166"/>
      <c r="V24" s="165"/>
      <c r="Y24" s="165"/>
      <c r="Z24" s="166"/>
      <c r="AA24" s="165"/>
      <c r="AE24" s="165"/>
      <c r="AF24" s="166"/>
      <c r="AG24" s="165"/>
      <c r="AK24" s="165"/>
      <c r="AL24" s="166"/>
      <c r="AM24" s="165"/>
      <c r="AO24" s="162">
        <v>1</v>
      </c>
      <c r="AP24" s="172" t="s">
        <v>203</v>
      </c>
      <c r="AQ24" s="165" t="s">
        <v>715</v>
      </c>
      <c r="AR24" s="166">
        <v>0.05</v>
      </c>
      <c r="AS24" s="165" t="s">
        <v>231</v>
      </c>
      <c r="AW24" s="165"/>
      <c r="AX24" s="166"/>
      <c r="AY24" s="165"/>
      <c r="BC24" s="165"/>
      <c r="BD24" s="166"/>
      <c r="BE24" s="165"/>
    </row>
    <row r="25" spans="2:57" ht="15" customHeight="1" x14ac:dyDescent="0.25">
      <c r="B25" s="167" t="s">
        <v>721</v>
      </c>
      <c r="C25" s="162">
        <v>1</v>
      </c>
      <c r="D25" s="162" t="s">
        <v>201</v>
      </c>
      <c r="E25" s="165" t="s">
        <v>717</v>
      </c>
      <c r="F25" s="166">
        <v>2.65</v>
      </c>
      <c r="G25" s="165" t="s">
        <v>233</v>
      </c>
      <c r="H25" s="162">
        <v>1</v>
      </c>
      <c r="I25" s="162" t="s">
        <v>201</v>
      </c>
      <c r="J25" s="165" t="s">
        <v>223</v>
      </c>
      <c r="K25" s="166">
        <v>5</v>
      </c>
      <c r="L25" s="165" t="s">
        <v>223</v>
      </c>
      <c r="M25" s="162">
        <v>1</v>
      </c>
      <c r="N25" s="162" t="s">
        <v>255</v>
      </c>
      <c r="O25" s="165" t="s">
        <v>223</v>
      </c>
      <c r="P25" s="166" t="s">
        <v>223</v>
      </c>
      <c r="Q25" s="165" t="s">
        <v>227</v>
      </c>
      <c r="R25" s="162">
        <v>1</v>
      </c>
      <c r="S25" s="162" t="s">
        <v>201</v>
      </c>
      <c r="T25" s="165" t="s">
        <v>717</v>
      </c>
      <c r="U25" s="166">
        <v>4.42</v>
      </c>
      <c r="V25" s="165" t="s">
        <v>226</v>
      </c>
      <c r="W25" s="162">
        <v>1</v>
      </c>
      <c r="X25" s="162" t="s">
        <v>206</v>
      </c>
      <c r="Y25" s="165" t="s">
        <v>223</v>
      </c>
      <c r="Z25" s="166">
        <v>11.25</v>
      </c>
      <c r="AA25" s="165" t="s">
        <v>223</v>
      </c>
      <c r="AC25" s="162">
        <v>1</v>
      </c>
      <c r="AD25" s="170" t="s">
        <v>201</v>
      </c>
      <c r="AE25" s="165" t="s">
        <v>717</v>
      </c>
      <c r="AF25" s="166">
        <v>2.6</v>
      </c>
      <c r="AG25" s="165" t="s">
        <v>233</v>
      </c>
      <c r="AI25" s="162">
        <v>1</v>
      </c>
      <c r="AJ25" s="170" t="s">
        <v>201</v>
      </c>
      <c r="AK25" s="165" t="s">
        <v>717</v>
      </c>
      <c r="AL25" s="166">
        <v>5</v>
      </c>
      <c r="AM25" s="165" t="s">
        <v>223</v>
      </c>
      <c r="AO25" s="162">
        <v>1</v>
      </c>
      <c r="AP25" s="162" t="s">
        <v>255</v>
      </c>
      <c r="AQ25" s="165" t="s">
        <v>223</v>
      </c>
      <c r="AR25" s="166" t="s">
        <v>223</v>
      </c>
      <c r="AS25" s="165" t="s">
        <v>227</v>
      </c>
      <c r="AU25" s="162">
        <v>1</v>
      </c>
      <c r="AV25" s="170" t="s">
        <v>201</v>
      </c>
      <c r="AW25" s="165" t="s">
        <v>717</v>
      </c>
      <c r="AX25" s="166">
        <v>4.4000000000000004</v>
      </c>
      <c r="AY25" s="165" t="s">
        <v>226</v>
      </c>
      <c r="BA25" s="162">
        <v>1</v>
      </c>
      <c r="BB25" s="162" t="s">
        <v>206</v>
      </c>
      <c r="BC25" s="165" t="s">
        <v>223</v>
      </c>
      <c r="BD25" s="166">
        <v>11.25</v>
      </c>
      <c r="BE25" s="165" t="s">
        <v>223</v>
      </c>
    </row>
    <row r="26" spans="2:57" ht="15" customHeight="1" x14ac:dyDescent="0.25">
      <c r="E26" s="165"/>
      <c r="F26" s="166"/>
      <c r="G26" s="165"/>
      <c r="J26" s="165"/>
      <c r="K26" s="166"/>
      <c r="L26" s="165"/>
      <c r="M26" s="162">
        <v>7</v>
      </c>
      <c r="N26" s="162" t="s">
        <v>195</v>
      </c>
      <c r="O26" s="165" t="s">
        <v>659</v>
      </c>
      <c r="P26" s="166">
        <v>0.217</v>
      </c>
      <c r="Q26" s="165" t="s">
        <v>225</v>
      </c>
      <c r="T26" s="165"/>
      <c r="U26" s="166"/>
      <c r="V26" s="165"/>
      <c r="Y26" s="165"/>
      <c r="Z26" s="166"/>
      <c r="AA26" s="165"/>
      <c r="AE26" s="165"/>
      <c r="AF26" s="166"/>
      <c r="AG26" s="165"/>
      <c r="AK26" s="165"/>
      <c r="AL26" s="166"/>
      <c r="AM26" s="165"/>
      <c r="AO26" s="162">
        <v>7</v>
      </c>
      <c r="AP26" s="164" t="s">
        <v>195</v>
      </c>
      <c r="AQ26" s="165" t="s">
        <v>659</v>
      </c>
      <c r="AR26" s="166">
        <v>0.2</v>
      </c>
      <c r="AS26" s="165" t="s">
        <v>225</v>
      </c>
      <c r="AW26" s="165"/>
      <c r="AX26" s="166"/>
      <c r="AY26" s="165"/>
      <c r="BC26" s="165"/>
      <c r="BD26" s="166"/>
      <c r="BE26" s="165"/>
    </row>
    <row r="27" spans="2:57" ht="15" customHeight="1" x14ac:dyDescent="0.25">
      <c r="E27" s="165"/>
      <c r="F27" s="166"/>
      <c r="G27" s="165"/>
      <c r="J27" s="165"/>
      <c r="K27" s="166"/>
      <c r="L27" s="165"/>
      <c r="M27" s="162">
        <v>7</v>
      </c>
      <c r="N27" s="162" t="s">
        <v>201</v>
      </c>
      <c r="O27" s="165" t="s">
        <v>717</v>
      </c>
      <c r="P27" s="166">
        <v>0.35399999999999998</v>
      </c>
      <c r="Q27" s="165" t="s">
        <v>228</v>
      </c>
      <c r="T27" s="165"/>
      <c r="U27" s="166"/>
      <c r="V27" s="165"/>
      <c r="Y27" s="165"/>
      <c r="Z27" s="166"/>
      <c r="AA27" s="165"/>
      <c r="AE27" s="165"/>
      <c r="AF27" s="166"/>
      <c r="AG27" s="165"/>
      <c r="AK27" s="165"/>
      <c r="AL27" s="166"/>
      <c r="AM27" s="165"/>
      <c r="AP27" s="170" t="s">
        <v>201</v>
      </c>
      <c r="AQ27" s="165" t="s">
        <v>717</v>
      </c>
      <c r="AR27" s="166">
        <v>0.4</v>
      </c>
      <c r="AS27" s="165" t="s">
        <v>228</v>
      </c>
      <c r="AW27" s="165"/>
      <c r="AX27" s="166"/>
      <c r="AY27" s="165"/>
      <c r="BC27" s="165"/>
      <c r="BD27" s="166"/>
      <c r="BE27" s="165"/>
    </row>
    <row r="28" spans="2:57" ht="15" customHeight="1" x14ac:dyDescent="0.25">
      <c r="B28" s="167" t="s">
        <v>722</v>
      </c>
      <c r="C28" s="162">
        <v>1</v>
      </c>
      <c r="D28" s="162" t="s">
        <v>201</v>
      </c>
      <c r="E28" s="165" t="s">
        <v>717</v>
      </c>
      <c r="F28" s="166">
        <v>3.54</v>
      </c>
      <c r="G28" s="165" t="s">
        <v>250</v>
      </c>
      <c r="H28" s="162">
        <v>1</v>
      </c>
      <c r="I28" s="162" t="s">
        <v>201</v>
      </c>
      <c r="J28" s="165" t="s">
        <v>717</v>
      </c>
      <c r="K28" s="166">
        <v>5.31</v>
      </c>
      <c r="L28" s="165" t="s">
        <v>112</v>
      </c>
      <c r="M28" s="162">
        <v>1</v>
      </c>
      <c r="N28" s="162" t="s">
        <v>591</v>
      </c>
      <c r="O28" s="165" t="s">
        <v>223</v>
      </c>
      <c r="P28" s="166" t="s">
        <v>223</v>
      </c>
      <c r="Q28" s="165" t="s">
        <v>227</v>
      </c>
      <c r="R28" s="162">
        <v>1</v>
      </c>
      <c r="S28" s="162" t="s">
        <v>201</v>
      </c>
      <c r="T28" s="165" t="s">
        <v>717</v>
      </c>
      <c r="U28" s="166">
        <v>6.19</v>
      </c>
      <c r="V28" s="165" t="s">
        <v>115</v>
      </c>
      <c r="W28" s="162">
        <v>1</v>
      </c>
      <c r="X28" s="162" t="s">
        <v>206</v>
      </c>
      <c r="Y28" s="165" t="s">
        <v>223</v>
      </c>
      <c r="Z28" s="166">
        <v>10</v>
      </c>
      <c r="AA28" s="165" t="s">
        <v>223</v>
      </c>
      <c r="AC28" s="162">
        <v>1</v>
      </c>
      <c r="AD28" s="170" t="s">
        <v>201</v>
      </c>
      <c r="AE28" s="165" t="s">
        <v>717</v>
      </c>
      <c r="AF28" s="166">
        <v>3.5</v>
      </c>
      <c r="AG28" s="165" t="s">
        <v>250</v>
      </c>
      <c r="AI28" s="162">
        <v>1</v>
      </c>
      <c r="AJ28" s="170" t="s">
        <v>201</v>
      </c>
      <c r="AK28" s="165" t="s">
        <v>717</v>
      </c>
      <c r="AL28" s="166">
        <v>5.3</v>
      </c>
      <c r="AM28" s="165" t="s">
        <v>112</v>
      </c>
      <c r="AO28" s="162">
        <v>1</v>
      </c>
      <c r="AP28" s="162" t="s">
        <v>591</v>
      </c>
      <c r="AQ28" s="165" t="s">
        <v>223</v>
      </c>
      <c r="AR28" s="166" t="s">
        <v>223</v>
      </c>
      <c r="AS28" s="165" t="s">
        <v>227</v>
      </c>
      <c r="AU28" s="162">
        <v>1</v>
      </c>
      <c r="AV28" s="170" t="s">
        <v>201</v>
      </c>
      <c r="AW28" s="165" t="s">
        <v>717</v>
      </c>
      <c r="AX28" s="166">
        <v>6.2</v>
      </c>
      <c r="AY28" s="165" t="s">
        <v>115</v>
      </c>
      <c r="BA28" s="162">
        <v>1</v>
      </c>
      <c r="BB28" s="162" t="s">
        <v>206</v>
      </c>
      <c r="BC28" s="165" t="s">
        <v>223</v>
      </c>
      <c r="BD28" s="166">
        <v>10</v>
      </c>
      <c r="BE28" s="165" t="s">
        <v>223</v>
      </c>
    </row>
    <row r="29" spans="2:57" ht="15" customHeight="1" x14ac:dyDescent="0.25">
      <c r="E29" s="165"/>
      <c r="F29" s="166"/>
      <c r="G29" s="165"/>
      <c r="J29" s="165"/>
      <c r="K29" s="166"/>
      <c r="L29" s="165"/>
      <c r="M29" s="162">
        <v>5</v>
      </c>
      <c r="N29" s="162" t="s">
        <v>198</v>
      </c>
      <c r="O29" s="165" t="s">
        <v>719</v>
      </c>
      <c r="P29" s="166">
        <v>0.157</v>
      </c>
      <c r="Q29" s="165" t="s">
        <v>229</v>
      </c>
      <c r="T29" s="165"/>
      <c r="U29" s="166"/>
      <c r="V29" s="165"/>
      <c r="Y29" s="165"/>
      <c r="Z29" s="166"/>
      <c r="AA29" s="165"/>
      <c r="AE29" s="165"/>
      <c r="AF29" s="166"/>
      <c r="AG29" s="165"/>
      <c r="AK29" s="165"/>
      <c r="AL29" s="166"/>
      <c r="AM29" s="165"/>
      <c r="AO29" s="162">
        <v>5</v>
      </c>
      <c r="AP29" s="171" t="s">
        <v>198</v>
      </c>
      <c r="AQ29" s="165" t="s">
        <v>719</v>
      </c>
      <c r="AR29" s="166">
        <v>0.15</v>
      </c>
      <c r="AS29" s="165" t="s">
        <v>229</v>
      </c>
      <c r="AW29" s="165"/>
      <c r="AX29" s="166"/>
      <c r="AY29" s="165"/>
      <c r="BC29" s="165"/>
      <c r="BD29" s="166"/>
      <c r="BE29" s="165"/>
    </row>
    <row r="30" spans="2:57" ht="15" customHeight="1" x14ac:dyDescent="0.25">
      <c r="E30" s="165"/>
      <c r="F30" s="166"/>
      <c r="G30" s="165"/>
      <c r="J30" s="165"/>
      <c r="K30" s="166"/>
      <c r="L30" s="165"/>
      <c r="M30" s="162">
        <v>5</v>
      </c>
      <c r="N30" s="162" t="s">
        <v>201</v>
      </c>
      <c r="O30" s="165" t="s">
        <v>717</v>
      </c>
      <c r="P30" s="166">
        <v>0.221</v>
      </c>
      <c r="Q30" s="165" t="s">
        <v>265</v>
      </c>
      <c r="T30" s="165"/>
      <c r="U30" s="166"/>
      <c r="V30" s="165"/>
      <c r="Y30" s="165"/>
      <c r="Z30" s="166"/>
      <c r="AA30" s="165"/>
      <c r="AE30" s="165"/>
      <c r="AF30" s="166"/>
      <c r="AG30" s="165"/>
      <c r="AK30" s="165"/>
      <c r="AL30" s="166"/>
      <c r="AM30" s="165"/>
      <c r="AP30" s="170" t="s">
        <v>201</v>
      </c>
      <c r="AQ30" s="165" t="s">
        <v>717</v>
      </c>
      <c r="AR30" s="166">
        <v>0.2</v>
      </c>
      <c r="AS30" s="165" t="s">
        <v>265</v>
      </c>
      <c r="AW30" s="165"/>
      <c r="AX30" s="166"/>
      <c r="AY30" s="165"/>
      <c r="BC30" s="165"/>
      <c r="BD30" s="166"/>
      <c r="BE30" s="165"/>
    </row>
    <row r="31" spans="2:57" ht="15" customHeight="1" x14ac:dyDescent="0.25">
      <c r="E31" s="165"/>
      <c r="F31" s="166"/>
      <c r="G31" s="165"/>
      <c r="J31" s="165"/>
      <c r="K31" s="166"/>
      <c r="L31" s="165"/>
      <c r="M31" s="162">
        <v>5</v>
      </c>
      <c r="N31" s="162" t="s">
        <v>203</v>
      </c>
      <c r="O31" s="165" t="s">
        <v>715</v>
      </c>
      <c r="P31" s="166">
        <v>5.8999999999999997E-2</v>
      </c>
      <c r="Q31" s="165" t="s">
        <v>231</v>
      </c>
      <c r="T31" s="165"/>
      <c r="U31" s="166"/>
      <c r="V31" s="165"/>
      <c r="Y31" s="165"/>
      <c r="Z31" s="166"/>
      <c r="AA31" s="165"/>
      <c r="AE31" s="165"/>
      <c r="AF31" s="166"/>
      <c r="AG31" s="165"/>
      <c r="AK31" s="165"/>
      <c r="AL31" s="166"/>
      <c r="AM31" s="165"/>
      <c r="AO31" s="162">
        <v>5</v>
      </c>
      <c r="AP31" s="172" t="s">
        <v>203</v>
      </c>
      <c r="AQ31" s="165" t="s">
        <v>715</v>
      </c>
      <c r="AR31" s="166">
        <v>0.05</v>
      </c>
      <c r="AS31" s="165" t="s">
        <v>231</v>
      </c>
      <c r="AW31" s="165"/>
      <c r="AX31" s="166"/>
      <c r="AY31" s="165"/>
      <c r="BC31" s="165"/>
      <c r="BD31" s="166"/>
      <c r="BE31" s="165"/>
    </row>
    <row r="32" spans="2:57" ht="15" customHeight="1" x14ac:dyDescent="0.25">
      <c r="E32" s="165"/>
      <c r="F32" s="166"/>
      <c r="G32" s="165"/>
      <c r="J32" s="165"/>
      <c r="K32" s="166"/>
      <c r="L32" s="165"/>
      <c r="M32" s="162">
        <v>5</v>
      </c>
      <c r="N32" s="162" t="s">
        <v>201</v>
      </c>
      <c r="O32" s="165" t="s">
        <v>717</v>
      </c>
      <c r="P32" s="166">
        <v>0.13300000000000001</v>
      </c>
      <c r="Q32" s="165" t="s">
        <v>229</v>
      </c>
      <c r="T32" s="165"/>
      <c r="U32" s="166"/>
      <c r="V32" s="165"/>
      <c r="Y32" s="165"/>
      <c r="Z32" s="166"/>
      <c r="AA32" s="165"/>
      <c r="AE32" s="165"/>
      <c r="AF32" s="166"/>
      <c r="AG32" s="165"/>
      <c r="AK32" s="165"/>
      <c r="AL32" s="166"/>
      <c r="AM32" s="165"/>
      <c r="AP32" s="170" t="s">
        <v>201</v>
      </c>
      <c r="AQ32" s="165" t="s">
        <v>717</v>
      </c>
      <c r="AR32" s="166">
        <v>0.15</v>
      </c>
      <c r="AS32" s="165" t="s">
        <v>229</v>
      </c>
      <c r="AW32" s="165"/>
      <c r="AX32" s="166"/>
      <c r="AY32" s="165"/>
      <c r="BC32" s="165"/>
      <c r="BD32" s="166"/>
      <c r="BE32" s="165"/>
    </row>
    <row r="33" spans="2:57" ht="15" customHeight="1" x14ac:dyDescent="0.25">
      <c r="B33" s="167" t="s">
        <v>589</v>
      </c>
      <c r="C33" s="162">
        <v>1</v>
      </c>
      <c r="D33" s="162" t="s">
        <v>201</v>
      </c>
      <c r="E33" s="165" t="s">
        <v>717</v>
      </c>
      <c r="F33" s="166">
        <v>4.42</v>
      </c>
      <c r="G33" s="165" t="s">
        <v>226</v>
      </c>
      <c r="H33" s="162">
        <v>1</v>
      </c>
      <c r="I33" s="162" t="s">
        <v>201</v>
      </c>
      <c r="J33" s="165" t="s">
        <v>717</v>
      </c>
      <c r="K33" s="166">
        <v>7.08</v>
      </c>
      <c r="L33" s="165" t="s">
        <v>243</v>
      </c>
      <c r="M33" s="162">
        <v>1</v>
      </c>
      <c r="N33" s="162" t="s">
        <v>255</v>
      </c>
      <c r="O33" s="165" t="s">
        <v>223</v>
      </c>
      <c r="P33" s="166" t="s">
        <v>223</v>
      </c>
      <c r="Q33" s="165" t="s">
        <v>244</v>
      </c>
      <c r="R33" s="162">
        <v>1</v>
      </c>
      <c r="S33" s="162" t="s">
        <v>201</v>
      </c>
      <c r="T33" s="165" t="s">
        <v>717</v>
      </c>
      <c r="U33" s="166">
        <v>7.96</v>
      </c>
      <c r="V33" s="165" t="s">
        <v>252</v>
      </c>
      <c r="W33" s="162">
        <v>1</v>
      </c>
      <c r="X33" s="162" t="s">
        <v>206</v>
      </c>
      <c r="Y33" s="165" t="s">
        <v>223</v>
      </c>
      <c r="Z33" s="166">
        <v>13</v>
      </c>
      <c r="AA33" s="165" t="s">
        <v>223</v>
      </c>
      <c r="AC33" s="162">
        <v>1</v>
      </c>
      <c r="AD33" s="170" t="s">
        <v>201</v>
      </c>
      <c r="AE33" s="165" t="s">
        <v>717</v>
      </c>
      <c r="AF33" s="166">
        <v>4.4000000000000004</v>
      </c>
      <c r="AG33" s="165" t="s">
        <v>226</v>
      </c>
      <c r="AI33" s="162">
        <v>1</v>
      </c>
      <c r="AJ33" s="170" t="s">
        <v>201</v>
      </c>
      <c r="AK33" s="165" t="s">
        <v>717</v>
      </c>
      <c r="AL33" s="166">
        <v>7.1</v>
      </c>
      <c r="AM33" s="165" t="s">
        <v>243</v>
      </c>
      <c r="AO33" s="162">
        <v>1</v>
      </c>
      <c r="AP33" s="162" t="s">
        <v>255</v>
      </c>
      <c r="AQ33" s="165" t="s">
        <v>223</v>
      </c>
      <c r="AR33" s="166" t="s">
        <v>223</v>
      </c>
      <c r="AS33" s="165" t="s">
        <v>244</v>
      </c>
      <c r="AU33" s="162">
        <v>1</v>
      </c>
      <c r="AV33" s="170" t="s">
        <v>201</v>
      </c>
      <c r="AW33" s="165" t="s">
        <v>717</v>
      </c>
      <c r="AX33" s="166">
        <v>8</v>
      </c>
      <c r="AY33" s="165" t="s">
        <v>252</v>
      </c>
      <c r="BA33" s="162">
        <v>1</v>
      </c>
      <c r="BB33" s="162" t="s">
        <v>206</v>
      </c>
      <c r="BC33" s="165" t="s">
        <v>223</v>
      </c>
      <c r="BD33" s="166">
        <v>13</v>
      </c>
      <c r="BE33" s="165" t="s">
        <v>223</v>
      </c>
    </row>
    <row r="34" spans="2:57" ht="15" customHeight="1" x14ac:dyDescent="0.25">
      <c r="E34" s="165"/>
      <c r="F34" s="166"/>
      <c r="G34" s="165"/>
      <c r="J34" s="165"/>
      <c r="K34" s="166"/>
      <c r="L34" s="165"/>
      <c r="M34" s="162">
        <v>3</v>
      </c>
      <c r="N34" s="162" t="s">
        <v>195</v>
      </c>
      <c r="O34" s="165" t="s">
        <v>659</v>
      </c>
      <c r="P34" s="166">
        <v>0.433</v>
      </c>
      <c r="Q34" s="165" t="s">
        <v>228</v>
      </c>
      <c r="T34" s="165"/>
      <c r="U34" s="166"/>
      <c r="V34" s="165"/>
      <c r="Y34" s="165"/>
      <c r="Z34" s="166"/>
      <c r="AA34" s="165"/>
      <c r="AE34" s="165"/>
      <c r="AF34" s="166"/>
      <c r="AG34" s="165"/>
      <c r="AK34" s="165"/>
      <c r="AL34" s="166"/>
      <c r="AM34" s="165"/>
      <c r="AO34" s="162">
        <v>3</v>
      </c>
      <c r="AP34" s="164" t="s">
        <v>195</v>
      </c>
      <c r="AQ34" s="165" t="s">
        <v>659</v>
      </c>
      <c r="AR34" s="166">
        <v>0.4</v>
      </c>
      <c r="AS34" s="165" t="s">
        <v>228</v>
      </c>
      <c r="AW34" s="165"/>
      <c r="AX34" s="166"/>
      <c r="AY34" s="165"/>
      <c r="BC34" s="165"/>
      <c r="BD34" s="166"/>
      <c r="BE34" s="165"/>
    </row>
    <row r="35" spans="2:57" ht="15" customHeight="1" x14ac:dyDescent="0.25">
      <c r="E35" s="165"/>
      <c r="F35" s="166"/>
      <c r="G35" s="165"/>
      <c r="J35" s="165"/>
      <c r="K35" s="166"/>
      <c r="L35" s="165"/>
      <c r="M35" s="162">
        <v>3</v>
      </c>
      <c r="N35" s="162" t="s">
        <v>201</v>
      </c>
      <c r="O35" s="165" t="s">
        <v>717</v>
      </c>
      <c r="P35" s="166">
        <v>0.17699999999999999</v>
      </c>
      <c r="Q35" s="165" t="s">
        <v>225</v>
      </c>
      <c r="T35" s="165"/>
      <c r="U35" s="166"/>
      <c r="V35" s="165"/>
      <c r="Y35" s="165"/>
      <c r="Z35" s="166"/>
      <c r="AA35" s="165"/>
      <c r="AE35" s="165"/>
      <c r="AF35" s="166"/>
      <c r="AG35" s="165"/>
      <c r="AK35" s="165"/>
      <c r="AL35" s="166"/>
      <c r="AM35" s="165"/>
      <c r="AP35" s="170" t="s">
        <v>201</v>
      </c>
      <c r="AQ35" s="165" t="s">
        <v>717</v>
      </c>
      <c r="AR35" s="166">
        <v>0.2</v>
      </c>
      <c r="AS35" s="165" t="s">
        <v>225</v>
      </c>
      <c r="AW35" s="165"/>
      <c r="AX35" s="166"/>
      <c r="AY35" s="165"/>
      <c r="BC35" s="165"/>
      <c r="BD35" s="166"/>
      <c r="BE35" s="165"/>
    </row>
    <row r="36" spans="2:57" ht="15" customHeight="1" x14ac:dyDescent="0.25">
      <c r="E36" s="165"/>
      <c r="F36" s="166"/>
      <c r="G36" s="165"/>
      <c r="J36" s="165"/>
      <c r="K36" s="166"/>
      <c r="L36" s="165"/>
      <c r="M36" s="162">
        <v>1</v>
      </c>
      <c r="N36" s="162" t="s">
        <v>202</v>
      </c>
      <c r="O36" s="165" t="s">
        <v>661</v>
      </c>
      <c r="P36" s="166">
        <v>2.0099999999999998</v>
      </c>
      <c r="Q36" s="165" t="s">
        <v>71</v>
      </c>
      <c r="T36" s="165"/>
      <c r="U36" s="166"/>
      <c r="V36" s="165"/>
      <c r="Y36" s="165"/>
      <c r="Z36" s="166"/>
      <c r="AA36" s="165"/>
      <c r="AE36" s="165"/>
      <c r="AF36" s="166"/>
      <c r="AG36" s="165"/>
      <c r="AK36" s="165"/>
      <c r="AL36" s="166"/>
      <c r="AM36" s="165"/>
      <c r="AO36" s="162">
        <v>1</v>
      </c>
      <c r="AP36" s="175" t="s">
        <v>202</v>
      </c>
      <c r="AQ36" s="165" t="s">
        <v>661</v>
      </c>
      <c r="AR36" s="166">
        <v>2</v>
      </c>
      <c r="AS36" s="165" t="s">
        <v>71</v>
      </c>
      <c r="AW36" s="165"/>
      <c r="AX36" s="166"/>
      <c r="AY36" s="165"/>
      <c r="BC36" s="165"/>
      <c r="BD36" s="166"/>
      <c r="BE36" s="165"/>
    </row>
    <row r="37" spans="2:57" ht="15" customHeight="1" x14ac:dyDescent="0.25">
      <c r="E37" s="165"/>
      <c r="F37" s="166"/>
      <c r="G37" s="165"/>
      <c r="J37" s="165"/>
      <c r="K37" s="166"/>
      <c r="L37" s="165"/>
      <c r="M37" s="162">
        <v>1</v>
      </c>
      <c r="N37" s="162" t="s">
        <v>201</v>
      </c>
      <c r="O37" s="165" t="s">
        <v>717</v>
      </c>
      <c r="P37" s="166">
        <v>0.35399999999999998</v>
      </c>
      <c r="Q37" s="165" t="s">
        <v>228</v>
      </c>
      <c r="T37" s="165"/>
      <c r="U37" s="166"/>
      <c r="V37" s="165"/>
      <c r="Y37" s="165"/>
      <c r="Z37" s="166"/>
      <c r="AA37" s="165"/>
      <c r="AE37" s="165"/>
      <c r="AF37" s="166"/>
      <c r="AG37" s="165"/>
      <c r="AK37" s="165"/>
      <c r="AL37" s="166"/>
      <c r="AM37" s="165"/>
      <c r="AO37" s="162">
        <v>1</v>
      </c>
      <c r="AP37" s="170" t="s">
        <v>201</v>
      </c>
      <c r="AQ37" s="165" t="s">
        <v>717</v>
      </c>
      <c r="AR37" s="166">
        <v>0.4</v>
      </c>
      <c r="AS37" s="165" t="s">
        <v>228</v>
      </c>
      <c r="AW37" s="165"/>
      <c r="AX37" s="166"/>
      <c r="AY37" s="165"/>
      <c r="BC37" s="165"/>
      <c r="BD37" s="166"/>
      <c r="BE37" s="165"/>
    </row>
    <row r="38" spans="2:57" ht="15" customHeight="1" x14ac:dyDescent="0.25">
      <c r="E38" s="165"/>
      <c r="F38" s="166"/>
      <c r="G38" s="165"/>
      <c r="J38" s="165"/>
      <c r="K38" s="166"/>
      <c r="L38" s="165"/>
      <c r="M38" s="162">
        <v>3</v>
      </c>
      <c r="N38" s="162" t="s">
        <v>195</v>
      </c>
      <c r="O38" s="165" t="s">
        <v>659</v>
      </c>
      <c r="P38" s="166">
        <v>0.433</v>
      </c>
      <c r="Q38" s="165" t="s">
        <v>228</v>
      </c>
      <c r="T38" s="165"/>
      <c r="U38" s="166"/>
      <c r="V38" s="165"/>
      <c r="Y38" s="165"/>
      <c r="Z38" s="166"/>
      <c r="AA38" s="165"/>
      <c r="AE38" s="165"/>
      <c r="AF38" s="166"/>
      <c r="AG38" s="165"/>
      <c r="AK38" s="165"/>
      <c r="AL38" s="166"/>
      <c r="AM38" s="165"/>
      <c r="AP38" s="164" t="s">
        <v>195</v>
      </c>
      <c r="AQ38" s="165" t="s">
        <v>659</v>
      </c>
      <c r="AR38" s="166">
        <v>0.4</v>
      </c>
      <c r="AS38" s="165" t="s">
        <v>228</v>
      </c>
      <c r="AW38" s="165"/>
      <c r="AX38" s="166"/>
      <c r="AY38" s="165"/>
      <c r="BC38" s="165"/>
      <c r="BD38" s="166"/>
      <c r="BE38" s="165"/>
    </row>
    <row r="39" spans="2:57" ht="15" customHeight="1" x14ac:dyDescent="0.25">
      <c r="B39" s="167" t="s">
        <v>590</v>
      </c>
      <c r="C39" s="162">
        <v>1</v>
      </c>
      <c r="D39" s="162" t="s">
        <v>201</v>
      </c>
      <c r="E39" s="165" t="s">
        <v>717</v>
      </c>
      <c r="F39" s="166">
        <v>5.31</v>
      </c>
      <c r="G39" s="165" t="s">
        <v>112</v>
      </c>
      <c r="H39" s="162">
        <v>1</v>
      </c>
      <c r="I39" s="162" t="s">
        <v>201</v>
      </c>
      <c r="J39" s="165" t="s">
        <v>717</v>
      </c>
      <c r="K39" s="166">
        <v>6.19</v>
      </c>
      <c r="L39" s="165" t="s">
        <v>115</v>
      </c>
      <c r="M39" s="162">
        <v>1</v>
      </c>
      <c r="N39" s="162" t="s">
        <v>255</v>
      </c>
      <c r="O39" s="165" t="s">
        <v>223</v>
      </c>
      <c r="P39" s="166" t="s">
        <v>223</v>
      </c>
      <c r="Q39" s="165" t="s">
        <v>227</v>
      </c>
      <c r="R39" s="162">
        <v>1</v>
      </c>
      <c r="S39" s="162" t="s">
        <v>201</v>
      </c>
      <c r="T39" s="165" t="s">
        <v>717</v>
      </c>
      <c r="U39" s="166">
        <v>7.96</v>
      </c>
      <c r="V39" s="165" t="s">
        <v>252</v>
      </c>
      <c r="W39" s="162">
        <v>1</v>
      </c>
      <c r="X39" s="162" t="s">
        <v>206</v>
      </c>
      <c r="Y39" s="165" t="s">
        <v>223</v>
      </c>
      <c r="Z39" s="166">
        <v>16</v>
      </c>
      <c r="AA39" s="165" t="s">
        <v>223</v>
      </c>
      <c r="AC39" s="162">
        <v>1</v>
      </c>
      <c r="AD39" s="170" t="s">
        <v>201</v>
      </c>
      <c r="AE39" s="165" t="s">
        <v>717</v>
      </c>
      <c r="AF39" s="166">
        <v>5.3</v>
      </c>
      <c r="AG39" s="165" t="s">
        <v>112</v>
      </c>
      <c r="AI39" s="162">
        <v>1</v>
      </c>
      <c r="AJ39" s="170" t="s">
        <v>201</v>
      </c>
      <c r="AK39" s="165" t="s">
        <v>717</v>
      </c>
      <c r="AL39" s="166">
        <v>6.2</v>
      </c>
      <c r="AM39" s="165" t="s">
        <v>115</v>
      </c>
      <c r="AO39" s="162">
        <v>1</v>
      </c>
      <c r="AP39" s="162" t="s">
        <v>255</v>
      </c>
      <c r="AQ39" s="165" t="s">
        <v>223</v>
      </c>
      <c r="AR39" s="166" t="s">
        <v>223</v>
      </c>
      <c r="AS39" s="165" t="s">
        <v>227</v>
      </c>
      <c r="AU39" s="162">
        <v>1</v>
      </c>
      <c r="AV39" s="170" t="s">
        <v>201</v>
      </c>
      <c r="AW39" s="165" t="s">
        <v>717</v>
      </c>
      <c r="AX39" s="166">
        <v>8</v>
      </c>
      <c r="AY39" s="165" t="s">
        <v>252</v>
      </c>
      <c r="BA39" s="162">
        <v>1</v>
      </c>
      <c r="BB39" s="162" t="s">
        <v>206</v>
      </c>
      <c r="BC39" s="165" t="s">
        <v>223</v>
      </c>
      <c r="BD39" s="166">
        <v>16</v>
      </c>
      <c r="BE39" s="165" t="s">
        <v>223</v>
      </c>
    </row>
    <row r="40" spans="2:57" ht="15" customHeight="1" x14ac:dyDescent="0.25">
      <c r="E40" s="165"/>
      <c r="F40" s="166"/>
      <c r="G40" s="165"/>
      <c r="J40" s="165"/>
      <c r="K40" s="166"/>
      <c r="L40" s="165"/>
      <c r="M40" s="162">
        <v>3</v>
      </c>
      <c r="N40" s="162" t="s">
        <v>195</v>
      </c>
      <c r="O40" s="165" t="s">
        <v>659</v>
      </c>
      <c r="P40" s="166">
        <v>0.65</v>
      </c>
      <c r="Q40" s="165" t="s">
        <v>235</v>
      </c>
      <c r="T40" s="165"/>
      <c r="U40" s="166"/>
      <c r="V40" s="165"/>
      <c r="Y40" s="165"/>
      <c r="Z40" s="166"/>
      <c r="AA40" s="165"/>
      <c r="AE40" s="165"/>
      <c r="AF40" s="166"/>
      <c r="AG40" s="165"/>
      <c r="AK40" s="165"/>
      <c r="AL40" s="166"/>
      <c r="AM40" s="165"/>
      <c r="AO40" s="162">
        <v>3</v>
      </c>
      <c r="AP40" s="164" t="s">
        <v>195</v>
      </c>
      <c r="AQ40" s="165" t="s">
        <v>659</v>
      </c>
      <c r="AR40" s="166">
        <v>0.7</v>
      </c>
      <c r="AS40" s="165" t="s">
        <v>235</v>
      </c>
      <c r="AW40" s="165"/>
      <c r="AX40" s="166"/>
      <c r="AY40" s="165"/>
      <c r="BC40" s="165"/>
      <c r="BD40" s="166"/>
      <c r="BE40" s="165"/>
    </row>
    <row r="41" spans="2:57" ht="15" customHeight="1" x14ac:dyDescent="0.25">
      <c r="E41" s="165"/>
      <c r="F41" s="166"/>
      <c r="G41" s="165"/>
      <c r="J41" s="165"/>
      <c r="K41" s="166"/>
      <c r="L41" s="165"/>
      <c r="M41" s="162">
        <v>3</v>
      </c>
      <c r="N41" s="162" t="s">
        <v>201</v>
      </c>
      <c r="O41" s="165" t="s">
        <v>717</v>
      </c>
      <c r="P41" s="166">
        <v>0.35399999999999998</v>
      </c>
      <c r="Q41" s="165" t="s">
        <v>228</v>
      </c>
      <c r="T41" s="165"/>
      <c r="U41" s="166"/>
      <c r="V41" s="165"/>
      <c r="Y41" s="165"/>
      <c r="Z41" s="166"/>
      <c r="AA41" s="165"/>
      <c r="AE41" s="165"/>
      <c r="AF41" s="166"/>
      <c r="AG41" s="165"/>
      <c r="AK41" s="165"/>
      <c r="AL41" s="166"/>
      <c r="AM41" s="165"/>
      <c r="AP41" s="170" t="s">
        <v>201</v>
      </c>
      <c r="AQ41" s="165" t="s">
        <v>717</v>
      </c>
      <c r="AR41" s="166">
        <v>0.4</v>
      </c>
      <c r="AS41" s="165" t="s">
        <v>228</v>
      </c>
      <c r="AW41" s="165"/>
      <c r="AX41" s="166"/>
      <c r="AY41" s="165"/>
      <c r="BC41" s="165"/>
      <c r="BD41" s="166"/>
      <c r="BE41" s="165"/>
    </row>
    <row r="42" spans="2:57" ht="15" customHeight="1" x14ac:dyDescent="0.25">
      <c r="E42" s="165"/>
      <c r="F42" s="166"/>
      <c r="G42" s="165"/>
      <c r="J42" s="165"/>
      <c r="K42" s="166"/>
      <c r="L42" s="165"/>
      <c r="M42" s="162">
        <v>12</v>
      </c>
      <c r="N42" s="162" t="s">
        <v>241</v>
      </c>
      <c r="O42" s="165" t="s">
        <v>718</v>
      </c>
      <c r="P42" s="166">
        <v>0.113</v>
      </c>
      <c r="Q42" s="165" t="s">
        <v>230</v>
      </c>
      <c r="T42" s="165"/>
      <c r="U42" s="166"/>
      <c r="V42" s="165"/>
      <c r="Y42" s="165"/>
      <c r="Z42" s="166"/>
      <c r="AA42" s="165"/>
      <c r="AE42" s="165"/>
      <c r="AF42" s="166"/>
      <c r="AG42" s="165"/>
      <c r="AK42" s="165"/>
      <c r="AL42" s="166"/>
      <c r="AM42" s="165"/>
      <c r="AO42" s="162">
        <v>12</v>
      </c>
      <c r="AP42" s="174" t="s">
        <v>241</v>
      </c>
      <c r="AQ42" s="165" t="s">
        <v>718</v>
      </c>
      <c r="AR42" s="166">
        <v>0.1</v>
      </c>
      <c r="AS42" s="165" t="s">
        <v>230</v>
      </c>
      <c r="AW42" s="165"/>
      <c r="AX42" s="166"/>
      <c r="AY42" s="165"/>
      <c r="BC42" s="165"/>
      <c r="BD42" s="166"/>
      <c r="BE42" s="165"/>
    </row>
    <row r="43" spans="2:57" ht="15" customHeight="1" x14ac:dyDescent="0.25">
      <c r="E43" s="165"/>
      <c r="F43" s="166"/>
      <c r="G43" s="165"/>
      <c r="J43" s="165"/>
      <c r="K43" s="166"/>
      <c r="L43" s="165"/>
      <c r="M43" s="162">
        <v>12</v>
      </c>
      <c r="N43" s="162" t="s">
        <v>201</v>
      </c>
      <c r="O43" s="165" t="s">
        <v>717</v>
      </c>
      <c r="P43" s="166">
        <v>0.17699999999999999</v>
      </c>
      <c r="Q43" s="165" t="s">
        <v>225</v>
      </c>
      <c r="T43" s="165"/>
      <c r="U43" s="166"/>
      <c r="V43" s="165"/>
      <c r="Y43" s="165"/>
      <c r="Z43" s="166"/>
      <c r="AA43" s="165"/>
      <c r="AE43" s="165"/>
      <c r="AF43" s="166"/>
      <c r="AG43" s="165"/>
      <c r="AK43" s="165"/>
      <c r="AL43" s="166"/>
      <c r="AM43" s="165"/>
      <c r="AP43" s="170" t="s">
        <v>201</v>
      </c>
      <c r="AQ43" s="165" t="s">
        <v>717</v>
      </c>
      <c r="AR43" s="166">
        <v>0.2</v>
      </c>
      <c r="AS43" s="165" t="s">
        <v>225</v>
      </c>
      <c r="AW43" s="165"/>
      <c r="AX43" s="166"/>
      <c r="AY43" s="165"/>
      <c r="BC43" s="165"/>
      <c r="BD43" s="166"/>
      <c r="BE43" s="165"/>
    </row>
    <row r="44" spans="2:57" ht="15" customHeight="1" x14ac:dyDescent="0.25">
      <c r="B44" s="167" t="s">
        <v>592</v>
      </c>
      <c r="C44" s="162">
        <v>1</v>
      </c>
      <c r="D44" s="162" t="s">
        <v>201</v>
      </c>
      <c r="E44" s="165" t="s">
        <v>717</v>
      </c>
      <c r="F44" s="166">
        <v>6.19</v>
      </c>
      <c r="G44" s="165" t="s">
        <v>115</v>
      </c>
      <c r="H44" s="162">
        <v>1</v>
      </c>
      <c r="I44" s="162" t="s">
        <v>201</v>
      </c>
      <c r="J44" s="165" t="s">
        <v>717</v>
      </c>
      <c r="K44" s="166">
        <v>5.31</v>
      </c>
      <c r="L44" s="165" t="s">
        <v>112</v>
      </c>
      <c r="M44" s="162">
        <v>1</v>
      </c>
      <c r="N44" s="162" t="s">
        <v>255</v>
      </c>
      <c r="O44" s="165" t="s">
        <v>223</v>
      </c>
      <c r="P44" s="166" t="s">
        <v>223</v>
      </c>
      <c r="Q44" s="165" t="s">
        <v>244</v>
      </c>
      <c r="R44" s="162">
        <v>1</v>
      </c>
      <c r="S44" s="162" t="s">
        <v>201</v>
      </c>
      <c r="T44" s="165" t="s">
        <v>717</v>
      </c>
      <c r="U44" s="166">
        <v>8.5</v>
      </c>
      <c r="V44" s="165" t="s">
        <v>723</v>
      </c>
      <c r="W44" s="162">
        <v>1</v>
      </c>
      <c r="X44" s="162" t="s">
        <v>206</v>
      </c>
      <c r="Y44" s="165" t="s">
        <v>223</v>
      </c>
      <c r="Z44" s="166">
        <v>15</v>
      </c>
      <c r="AA44" s="165" t="s">
        <v>223</v>
      </c>
      <c r="AC44" s="162">
        <v>1</v>
      </c>
      <c r="AD44" s="170" t="s">
        <v>201</v>
      </c>
      <c r="AE44" s="165" t="s">
        <v>717</v>
      </c>
      <c r="AF44" s="166">
        <v>6.2</v>
      </c>
      <c r="AG44" s="165" t="s">
        <v>115</v>
      </c>
      <c r="AI44" s="162">
        <v>1</v>
      </c>
      <c r="AJ44" s="170" t="s">
        <v>201</v>
      </c>
      <c r="AK44" s="165" t="s">
        <v>717</v>
      </c>
      <c r="AL44" s="166">
        <v>5.3</v>
      </c>
      <c r="AM44" s="165" t="s">
        <v>112</v>
      </c>
      <c r="AO44" s="162">
        <v>1</v>
      </c>
      <c r="AP44" s="162" t="s">
        <v>255</v>
      </c>
      <c r="AQ44" s="165" t="s">
        <v>223</v>
      </c>
      <c r="AR44" s="166" t="s">
        <v>223</v>
      </c>
      <c r="AS44" s="165" t="s">
        <v>244</v>
      </c>
      <c r="AU44" s="162">
        <v>1</v>
      </c>
      <c r="AV44" s="170" t="s">
        <v>201</v>
      </c>
      <c r="AW44" s="165" t="s">
        <v>717</v>
      </c>
      <c r="AX44" s="166">
        <v>8.5</v>
      </c>
      <c r="AY44" s="165" t="s">
        <v>723</v>
      </c>
      <c r="BA44" s="162">
        <v>1</v>
      </c>
      <c r="BB44" s="162" t="s">
        <v>206</v>
      </c>
      <c r="BC44" s="165" t="s">
        <v>223</v>
      </c>
      <c r="BD44" s="166">
        <v>15</v>
      </c>
      <c r="BE44" s="165" t="s">
        <v>223</v>
      </c>
    </row>
    <row r="45" spans="2:57" ht="15" customHeight="1" x14ac:dyDescent="0.25">
      <c r="E45" s="165"/>
      <c r="F45" s="166"/>
      <c r="G45" s="165"/>
      <c r="J45" s="165"/>
      <c r="K45" s="166"/>
      <c r="L45" s="165"/>
      <c r="M45" s="162">
        <v>1</v>
      </c>
      <c r="N45" s="162" t="s">
        <v>202</v>
      </c>
      <c r="O45" s="165" t="s">
        <v>661</v>
      </c>
      <c r="P45" s="166">
        <v>4.01</v>
      </c>
      <c r="Q45" s="165" t="s">
        <v>250</v>
      </c>
      <c r="T45" s="165"/>
      <c r="U45" s="166"/>
      <c r="V45" s="165"/>
      <c r="Y45" s="165"/>
      <c r="Z45" s="166"/>
      <c r="AA45" s="165"/>
      <c r="AE45" s="165"/>
      <c r="AF45" s="166"/>
      <c r="AG45" s="165"/>
      <c r="AK45" s="165"/>
      <c r="AL45" s="166"/>
      <c r="AM45" s="165"/>
      <c r="AO45" s="162">
        <v>1</v>
      </c>
      <c r="AP45" s="175" t="s">
        <v>202</v>
      </c>
      <c r="AQ45" s="165" t="s">
        <v>661</v>
      </c>
      <c r="AR45" s="166">
        <v>4</v>
      </c>
      <c r="AS45" s="165" t="s">
        <v>250</v>
      </c>
      <c r="AW45" s="165"/>
      <c r="AX45" s="166"/>
      <c r="AY45" s="165"/>
      <c r="BC45" s="165"/>
      <c r="BD45" s="166"/>
      <c r="BE45" s="165"/>
    </row>
    <row r="46" spans="2:57" ht="15" customHeight="1" x14ac:dyDescent="0.25">
      <c r="B46" s="167" t="s">
        <v>593</v>
      </c>
      <c r="C46" s="162">
        <v>1</v>
      </c>
      <c r="D46" s="162" t="s">
        <v>201</v>
      </c>
      <c r="E46" s="165" t="s">
        <v>717</v>
      </c>
      <c r="F46" s="166">
        <v>6.19</v>
      </c>
      <c r="G46" s="165" t="s">
        <v>115</v>
      </c>
      <c r="H46" s="162">
        <v>1</v>
      </c>
      <c r="I46" s="162" t="s">
        <v>201</v>
      </c>
      <c r="J46" s="165" t="s">
        <v>717</v>
      </c>
      <c r="K46" s="166">
        <v>4.42</v>
      </c>
      <c r="L46" s="165" t="s">
        <v>226</v>
      </c>
      <c r="M46" s="162">
        <v>1</v>
      </c>
      <c r="N46" s="162" t="s">
        <v>255</v>
      </c>
      <c r="O46" s="165" t="s">
        <v>223</v>
      </c>
      <c r="P46" s="166" t="s">
        <v>223</v>
      </c>
      <c r="Q46" s="165" t="s">
        <v>227</v>
      </c>
      <c r="R46" s="162">
        <v>1</v>
      </c>
      <c r="S46" s="162" t="s">
        <v>201</v>
      </c>
      <c r="T46" s="165" t="s">
        <v>717</v>
      </c>
      <c r="U46" s="166">
        <v>10.62</v>
      </c>
      <c r="V46" s="165" t="s">
        <v>597</v>
      </c>
      <c r="W46" s="162">
        <v>1</v>
      </c>
      <c r="X46" s="162" t="s">
        <v>206</v>
      </c>
      <c r="Y46" s="165" t="s">
        <v>223</v>
      </c>
      <c r="Z46" s="166">
        <v>20</v>
      </c>
      <c r="AA46" s="165" t="s">
        <v>223</v>
      </c>
      <c r="AC46" s="162">
        <v>1</v>
      </c>
      <c r="AD46" s="170" t="s">
        <v>201</v>
      </c>
      <c r="AE46" s="165" t="s">
        <v>717</v>
      </c>
      <c r="AF46" s="166">
        <v>6.2</v>
      </c>
      <c r="AG46" s="165" t="s">
        <v>115</v>
      </c>
      <c r="AI46" s="162">
        <v>1</v>
      </c>
      <c r="AJ46" s="170" t="s">
        <v>201</v>
      </c>
      <c r="AK46" s="165" t="s">
        <v>717</v>
      </c>
      <c r="AL46" s="166">
        <v>4.4000000000000004</v>
      </c>
      <c r="AM46" s="165" t="s">
        <v>226</v>
      </c>
      <c r="AO46" s="162">
        <v>1</v>
      </c>
      <c r="AP46" s="162" t="s">
        <v>255</v>
      </c>
      <c r="AQ46" s="165" t="s">
        <v>223</v>
      </c>
      <c r="AR46" s="166" t="s">
        <v>223</v>
      </c>
      <c r="AS46" s="165" t="s">
        <v>227</v>
      </c>
      <c r="AU46" s="162">
        <v>1</v>
      </c>
      <c r="AV46" s="170" t="s">
        <v>201</v>
      </c>
      <c r="AW46" s="165" t="s">
        <v>717</v>
      </c>
      <c r="AX46" s="166">
        <v>10.6</v>
      </c>
      <c r="AY46" s="165" t="s">
        <v>597</v>
      </c>
      <c r="BA46" s="162">
        <v>1</v>
      </c>
      <c r="BB46" s="162" t="s">
        <v>206</v>
      </c>
      <c r="BC46" s="165" t="s">
        <v>223</v>
      </c>
      <c r="BD46" s="166">
        <v>20</v>
      </c>
      <c r="BE46" s="165" t="s">
        <v>223</v>
      </c>
    </row>
    <row r="47" spans="2:57" ht="15" customHeight="1" x14ac:dyDescent="0.25">
      <c r="E47" s="165"/>
      <c r="F47" s="166"/>
      <c r="G47" s="165"/>
      <c r="J47" s="165"/>
      <c r="K47" s="166"/>
      <c r="L47" s="165"/>
      <c r="M47" s="162">
        <v>3</v>
      </c>
      <c r="N47" s="162" t="s">
        <v>195</v>
      </c>
      <c r="O47" s="165" t="s">
        <v>659</v>
      </c>
      <c r="P47" s="166">
        <v>1.52</v>
      </c>
      <c r="Q47" s="165" t="s">
        <v>244</v>
      </c>
      <c r="T47" s="165"/>
      <c r="U47" s="166"/>
      <c r="V47" s="165"/>
      <c r="Y47" s="165"/>
      <c r="Z47" s="166"/>
      <c r="AA47" s="165"/>
      <c r="AE47" s="165"/>
      <c r="AF47" s="166"/>
      <c r="AG47" s="165"/>
      <c r="AK47" s="165"/>
      <c r="AL47" s="166"/>
      <c r="AM47" s="165"/>
      <c r="AO47" s="162">
        <v>3</v>
      </c>
      <c r="AP47" s="164" t="s">
        <v>195</v>
      </c>
      <c r="AQ47" s="165" t="s">
        <v>659</v>
      </c>
      <c r="AR47" s="166">
        <v>1.5</v>
      </c>
      <c r="AS47" s="165" t="s">
        <v>244</v>
      </c>
      <c r="AW47" s="165"/>
      <c r="AX47" s="166"/>
      <c r="AY47" s="165"/>
      <c r="BC47" s="165"/>
      <c r="BD47" s="166"/>
      <c r="BE47" s="165"/>
    </row>
    <row r="48" spans="2:57" ht="15" customHeight="1" x14ac:dyDescent="0.25">
      <c r="E48" s="165"/>
      <c r="F48" s="166"/>
      <c r="G48" s="165"/>
      <c r="J48" s="165"/>
      <c r="K48" s="166"/>
      <c r="L48" s="165"/>
      <c r="M48" s="162">
        <v>2</v>
      </c>
      <c r="N48" s="162" t="s">
        <v>201</v>
      </c>
      <c r="O48" s="165" t="s">
        <v>717</v>
      </c>
      <c r="P48" s="166">
        <v>0.442</v>
      </c>
      <c r="Q48" s="165" t="s">
        <v>240</v>
      </c>
      <c r="T48" s="165"/>
      <c r="U48" s="166"/>
      <c r="V48" s="165"/>
      <c r="Y48" s="165"/>
      <c r="Z48" s="166"/>
      <c r="AA48" s="165"/>
      <c r="AE48" s="165"/>
      <c r="AF48" s="166"/>
      <c r="AG48" s="165"/>
      <c r="AK48" s="165"/>
      <c r="AL48" s="166"/>
      <c r="AM48" s="165"/>
      <c r="AP48" s="170" t="s">
        <v>201</v>
      </c>
      <c r="AQ48" s="165" t="s">
        <v>717</v>
      </c>
      <c r="AR48" s="166">
        <v>0.4</v>
      </c>
      <c r="AS48" s="165" t="s">
        <v>240</v>
      </c>
      <c r="AW48" s="165"/>
      <c r="AX48" s="166"/>
      <c r="AY48" s="165"/>
      <c r="BC48" s="165"/>
      <c r="BD48" s="166"/>
      <c r="BE48" s="165"/>
    </row>
    <row r="49" spans="2:57" ht="15" customHeight="1" x14ac:dyDescent="0.25">
      <c r="B49" s="167" t="s">
        <v>594</v>
      </c>
      <c r="C49" s="162">
        <v>1</v>
      </c>
      <c r="D49" s="162" t="s">
        <v>201</v>
      </c>
      <c r="E49" s="165" t="s">
        <v>717</v>
      </c>
      <c r="F49" s="166">
        <v>7.96</v>
      </c>
      <c r="G49" s="165" t="s">
        <v>252</v>
      </c>
      <c r="H49" s="162">
        <v>1</v>
      </c>
      <c r="I49" s="162" t="s">
        <v>201</v>
      </c>
      <c r="J49" s="165" t="s">
        <v>717</v>
      </c>
      <c r="K49" s="166">
        <v>5.66</v>
      </c>
      <c r="L49" s="165" t="s">
        <v>724</v>
      </c>
      <c r="M49" s="162">
        <v>1</v>
      </c>
      <c r="N49" s="162" t="s">
        <v>255</v>
      </c>
      <c r="O49" s="165" t="s">
        <v>223</v>
      </c>
      <c r="P49" s="166" t="s">
        <v>223</v>
      </c>
      <c r="Q49" s="165" t="s">
        <v>244</v>
      </c>
      <c r="R49" s="162">
        <v>1</v>
      </c>
      <c r="S49" s="162" t="s">
        <v>201</v>
      </c>
      <c r="T49" s="165" t="s">
        <v>717</v>
      </c>
      <c r="U49" s="166">
        <v>5.84</v>
      </c>
      <c r="V49" s="165" t="s">
        <v>114</v>
      </c>
      <c r="W49" s="162">
        <v>1</v>
      </c>
      <c r="X49" s="162" t="s">
        <v>206</v>
      </c>
      <c r="Y49" s="165" t="s">
        <v>223</v>
      </c>
      <c r="Z49" s="166">
        <v>21.1</v>
      </c>
      <c r="AA49" s="165" t="s">
        <v>223</v>
      </c>
      <c r="AC49" s="162">
        <v>1</v>
      </c>
      <c r="AD49" s="170" t="s">
        <v>201</v>
      </c>
      <c r="AE49" s="165" t="s">
        <v>717</v>
      </c>
      <c r="AF49" s="166">
        <v>8</v>
      </c>
      <c r="AG49" s="165" t="s">
        <v>252</v>
      </c>
      <c r="AI49" s="162">
        <v>1</v>
      </c>
      <c r="AJ49" s="170" t="s">
        <v>201</v>
      </c>
      <c r="AK49" s="165" t="s">
        <v>717</v>
      </c>
      <c r="AL49" s="166">
        <v>5.7</v>
      </c>
      <c r="AM49" s="165" t="s">
        <v>724</v>
      </c>
      <c r="AO49" s="162">
        <v>1</v>
      </c>
      <c r="AP49" s="162" t="s">
        <v>255</v>
      </c>
      <c r="AQ49" s="165" t="s">
        <v>223</v>
      </c>
      <c r="AR49" s="166" t="s">
        <v>223</v>
      </c>
      <c r="AS49" s="165" t="s">
        <v>244</v>
      </c>
      <c r="AU49" s="162">
        <v>1</v>
      </c>
      <c r="AV49" s="170" t="s">
        <v>201</v>
      </c>
      <c r="AW49" s="165" t="s">
        <v>717</v>
      </c>
      <c r="AX49" s="166">
        <v>5.8</v>
      </c>
      <c r="AY49" s="165" t="s">
        <v>114</v>
      </c>
      <c r="BA49" s="162">
        <v>1</v>
      </c>
      <c r="BB49" s="162" t="s">
        <v>206</v>
      </c>
      <c r="BC49" s="165" t="s">
        <v>223</v>
      </c>
      <c r="BD49" s="166">
        <v>21.1</v>
      </c>
      <c r="BE49" s="165" t="s">
        <v>223</v>
      </c>
    </row>
    <row r="50" spans="2:57" ht="15" customHeight="1" x14ac:dyDescent="0.25">
      <c r="E50" s="165"/>
      <c r="F50" s="166"/>
      <c r="G50" s="165"/>
      <c r="J50" s="165"/>
      <c r="K50" s="166"/>
      <c r="L50" s="165"/>
      <c r="M50" s="162">
        <v>1</v>
      </c>
      <c r="N50" s="162" t="s">
        <v>202</v>
      </c>
      <c r="O50" s="165" t="s">
        <v>661</v>
      </c>
      <c r="P50" s="166">
        <v>5.0199999999999996</v>
      </c>
      <c r="Q50" s="165" t="s">
        <v>226</v>
      </c>
      <c r="T50" s="165"/>
      <c r="U50" s="166"/>
      <c r="V50" s="165"/>
      <c r="Y50" s="165"/>
      <c r="Z50" s="166"/>
      <c r="AA50" s="165"/>
      <c r="AE50" s="165"/>
      <c r="AF50" s="166"/>
      <c r="AG50" s="165"/>
      <c r="AK50" s="165"/>
      <c r="AL50" s="166"/>
      <c r="AM50" s="165"/>
      <c r="AO50" s="162">
        <v>1</v>
      </c>
      <c r="AP50" s="175" t="s">
        <v>202</v>
      </c>
      <c r="AQ50" s="165" t="s">
        <v>661</v>
      </c>
      <c r="AR50" s="166">
        <v>5</v>
      </c>
      <c r="AS50" s="165" t="s">
        <v>226</v>
      </c>
      <c r="AW50" s="165"/>
      <c r="AX50" s="166"/>
      <c r="AY50" s="165"/>
      <c r="BC50" s="165"/>
      <c r="BD50" s="166"/>
      <c r="BE50" s="165"/>
    </row>
    <row r="51" spans="2:57" ht="15" customHeight="1" x14ac:dyDescent="0.25">
      <c r="B51" s="167" t="s">
        <v>725</v>
      </c>
      <c r="C51" s="162">
        <v>1</v>
      </c>
      <c r="D51" s="162" t="s">
        <v>201</v>
      </c>
      <c r="E51" s="165" t="s">
        <v>717</v>
      </c>
      <c r="F51" s="166">
        <v>8.85</v>
      </c>
      <c r="G51" s="165" t="s">
        <v>249</v>
      </c>
      <c r="H51" s="162">
        <v>1</v>
      </c>
      <c r="I51" s="162" t="s">
        <v>201</v>
      </c>
      <c r="J51" s="165" t="s">
        <v>717</v>
      </c>
      <c r="K51" s="166">
        <v>10.62</v>
      </c>
      <c r="L51" s="165" t="s">
        <v>597</v>
      </c>
      <c r="M51" s="162">
        <v>1</v>
      </c>
      <c r="N51" s="162" t="s">
        <v>255</v>
      </c>
      <c r="O51" s="165" t="s">
        <v>223</v>
      </c>
      <c r="P51" s="166" t="s">
        <v>223</v>
      </c>
      <c r="Q51" s="165" t="s">
        <v>227</v>
      </c>
      <c r="R51" s="162">
        <v>1</v>
      </c>
      <c r="S51" s="162" t="s">
        <v>201</v>
      </c>
      <c r="T51" s="165" t="s">
        <v>717</v>
      </c>
      <c r="U51" s="166">
        <v>5.84</v>
      </c>
      <c r="V51" s="165" t="s">
        <v>114</v>
      </c>
      <c r="W51" s="162">
        <v>1</v>
      </c>
      <c r="X51" s="162" t="s">
        <v>206</v>
      </c>
      <c r="Y51" s="165" t="s">
        <v>662</v>
      </c>
      <c r="Z51" s="166">
        <v>23.15</v>
      </c>
      <c r="AA51" s="165" t="s">
        <v>726</v>
      </c>
      <c r="AC51" s="162">
        <v>1</v>
      </c>
      <c r="AD51" s="170" t="s">
        <v>201</v>
      </c>
      <c r="AE51" s="165" t="s">
        <v>717</v>
      </c>
      <c r="AF51" s="166">
        <v>8.8000000000000007</v>
      </c>
      <c r="AG51" s="165" t="s">
        <v>249</v>
      </c>
      <c r="AI51" s="162">
        <v>1</v>
      </c>
      <c r="AJ51" s="170" t="s">
        <v>201</v>
      </c>
      <c r="AK51" s="165" t="s">
        <v>717</v>
      </c>
      <c r="AL51" s="166">
        <v>10.6</v>
      </c>
      <c r="AM51" s="165" t="s">
        <v>597</v>
      </c>
      <c r="AO51" s="162">
        <v>1</v>
      </c>
      <c r="AP51" s="162" t="s">
        <v>255</v>
      </c>
      <c r="AQ51" s="165" t="s">
        <v>223</v>
      </c>
      <c r="AR51" s="166" t="s">
        <v>223</v>
      </c>
      <c r="AS51" s="165" t="s">
        <v>227</v>
      </c>
      <c r="AU51" s="162">
        <v>1</v>
      </c>
      <c r="AV51" s="170" t="s">
        <v>201</v>
      </c>
      <c r="AW51" s="165" t="s">
        <v>717</v>
      </c>
      <c r="AX51" s="166">
        <v>5.8</v>
      </c>
      <c r="AY51" s="165" t="s">
        <v>114</v>
      </c>
      <c r="BA51" s="162">
        <v>1</v>
      </c>
      <c r="BB51" s="162" t="s">
        <v>206</v>
      </c>
      <c r="BC51" s="165" t="s">
        <v>223</v>
      </c>
      <c r="BD51" s="166"/>
      <c r="BE51" s="165" t="s">
        <v>726</v>
      </c>
    </row>
    <row r="52" spans="2:57" ht="15" customHeight="1" x14ac:dyDescent="0.25">
      <c r="E52" s="165"/>
      <c r="F52" s="166"/>
      <c r="G52" s="165"/>
      <c r="J52" s="165"/>
      <c r="K52" s="166"/>
      <c r="L52" s="165"/>
      <c r="M52" s="162">
        <v>5</v>
      </c>
      <c r="N52" s="162" t="s">
        <v>198</v>
      </c>
      <c r="O52" s="165" t="s">
        <v>719</v>
      </c>
      <c r="P52" s="166">
        <v>1.05</v>
      </c>
      <c r="Q52" s="165" t="s">
        <v>227</v>
      </c>
      <c r="T52" s="165"/>
      <c r="U52" s="166"/>
      <c r="V52" s="165"/>
      <c r="Y52" s="165"/>
      <c r="Z52" s="166"/>
      <c r="AA52" s="165"/>
      <c r="AE52" s="165"/>
      <c r="AF52" s="166"/>
      <c r="AG52" s="165"/>
      <c r="AK52" s="165"/>
      <c r="AL52" s="166"/>
      <c r="AM52" s="165"/>
      <c r="AO52" s="162">
        <v>5</v>
      </c>
      <c r="AP52" s="171" t="s">
        <v>198</v>
      </c>
      <c r="AQ52" s="165" t="s">
        <v>719</v>
      </c>
      <c r="AR52" s="166">
        <v>1.1000000000000001</v>
      </c>
      <c r="AS52" s="165" t="s">
        <v>227</v>
      </c>
      <c r="AW52" s="165"/>
      <c r="AX52" s="166"/>
      <c r="AY52" s="165"/>
      <c r="BC52" s="165"/>
      <c r="BD52" s="166"/>
      <c r="BE52" s="165"/>
    </row>
    <row r="53" spans="2:57" ht="15" customHeight="1" x14ac:dyDescent="0.25">
      <c r="E53" s="165"/>
      <c r="F53" s="166"/>
      <c r="G53" s="165"/>
      <c r="J53" s="165"/>
      <c r="K53" s="166"/>
      <c r="L53" s="165"/>
      <c r="M53" s="162">
        <v>4</v>
      </c>
      <c r="N53" s="162" t="s">
        <v>201</v>
      </c>
      <c r="O53" s="165" t="s">
        <v>717</v>
      </c>
      <c r="P53" s="166">
        <v>0.35399999999999998</v>
      </c>
      <c r="Q53" s="165" t="s">
        <v>228</v>
      </c>
      <c r="T53" s="165"/>
      <c r="U53" s="166"/>
      <c r="V53" s="165"/>
      <c r="Y53" s="165"/>
      <c r="Z53" s="166"/>
      <c r="AA53" s="165"/>
      <c r="AE53" s="165"/>
      <c r="AF53" s="166"/>
      <c r="AG53" s="165"/>
      <c r="AK53" s="165"/>
      <c r="AL53" s="166"/>
      <c r="AM53" s="165"/>
      <c r="AP53" s="170" t="s">
        <v>201</v>
      </c>
      <c r="AQ53" s="165" t="s">
        <v>717</v>
      </c>
      <c r="AR53" s="166">
        <v>0.4</v>
      </c>
      <c r="AS53" s="165" t="s">
        <v>228</v>
      </c>
      <c r="AW53" s="165"/>
      <c r="AX53" s="166"/>
      <c r="AY53" s="165"/>
      <c r="BC53" s="165"/>
      <c r="BD53" s="166"/>
      <c r="BE53" s="165"/>
    </row>
    <row r="54" spans="2:57" ht="15" customHeight="1" x14ac:dyDescent="0.25">
      <c r="B54" s="167" t="s">
        <v>727</v>
      </c>
      <c r="C54" s="162">
        <v>1</v>
      </c>
      <c r="D54" s="162" t="s">
        <v>201</v>
      </c>
      <c r="E54" s="165" t="s">
        <v>717</v>
      </c>
      <c r="F54" s="166">
        <v>7.08</v>
      </c>
      <c r="G54" s="165" t="s">
        <v>243</v>
      </c>
      <c r="H54" s="162">
        <v>1</v>
      </c>
      <c r="I54" s="162" t="s">
        <v>201</v>
      </c>
      <c r="J54" s="165" t="s">
        <v>717</v>
      </c>
      <c r="K54" s="166">
        <v>6.19</v>
      </c>
      <c r="L54" s="165" t="s">
        <v>115</v>
      </c>
      <c r="M54" s="162">
        <v>1</v>
      </c>
      <c r="N54" s="162" t="s">
        <v>255</v>
      </c>
      <c r="O54" s="165" t="s">
        <v>223</v>
      </c>
      <c r="P54" s="166" t="s">
        <v>223</v>
      </c>
      <c r="Q54" s="165" t="s">
        <v>227</v>
      </c>
      <c r="R54" s="162">
        <v>1</v>
      </c>
      <c r="S54" s="162" t="s">
        <v>201</v>
      </c>
      <c r="T54" s="165" t="s">
        <v>717</v>
      </c>
      <c r="U54" s="166">
        <v>5.31</v>
      </c>
      <c r="V54" s="165" t="s">
        <v>112</v>
      </c>
      <c r="W54" s="162">
        <v>1</v>
      </c>
      <c r="X54" s="162" t="s">
        <v>206</v>
      </c>
      <c r="Y54" s="165" t="s">
        <v>223</v>
      </c>
      <c r="Z54" s="166" t="s">
        <v>728</v>
      </c>
      <c r="AA54" s="165" t="s">
        <v>223</v>
      </c>
      <c r="AC54" s="162">
        <v>1</v>
      </c>
      <c r="AD54" s="170" t="s">
        <v>201</v>
      </c>
      <c r="AE54" s="165" t="s">
        <v>717</v>
      </c>
      <c r="AF54" s="166">
        <v>7.1</v>
      </c>
      <c r="AG54" s="165" t="s">
        <v>243</v>
      </c>
      <c r="AI54" s="162">
        <v>1</v>
      </c>
      <c r="AJ54" s="170" t="s">
        <v>201</v>
      </c>
      <c r="AK54" s="165" t="s">
        <v>717</v>
      </c>
      <c r="AL54" s="166">
        <v>6.2</v>
      </c>
      <c r="AM54" s="165" t="s">
        <v>115</v>
      </c>
      <c r="AO54" s="162">
        <v>1</v>
      </c>
      <c r="AP54" s="162" t="s">
        <v>255</v>
      </c>
      <c r="AQ54" s="165" t="s">
        <v>223</v>
      </c>
      <c r="AR54" s="166" t="s">
        <v>223</v>
      </c>
      <c r="AS54" s="165" t="s">
        <v>227</v>
      </c>
      <c r="AU54" s="162">
        <v>1</v>
      </c>
      <c r="AV54" s="170" t="s">
        <v>201</v>
      </c>
      <c r="AW54" s="165" t="s">
        <v>717</v>
      </c>
      <c r="AX54" s="166">
        <v>5.3</v>
      </c>
      <c r="AY54" s="165" t="s">
        <v>112</v>
      </c>
      <c r="BA54" s="162">
        <v>1</v>
      </c>
      <c r="BB54" s="162" t="s">
        <v>206</v>
      </c>
      <c r="BC54" s="165" t="s">
        <v>223</v>
      </c>
      <c r="BD54" s="166" t="s">
        <v>728</v>
      </c>
      <c r="BE54" s="165" t="s">
        <v>223</v>
      </c>
    </row>
    <row r="55" spans="2:57" ht="15" customHeight="1" x14ac:dyDescent="0.25">
      <c r="E55" s="165"/>
      <c r="F55" s="166"/>
      <c r="G55" s="165"/>
      <c r="J55" s="165"/>
      <c r="K55" s="166"/>
      <c r="L55" s="165"/>
      <c r="M55" s="162">
        <v>1</v>
      </c>
      <c r="N55" s="162" t="s">
        <v>202</v>
      </c>
      <c r="O55" s="165" t="s">
        <v>661</v>
      </c>
      <c r="P55" s="166">
        <v>2.41</v>
      </c>
      <c r="Q55" s="165" t="s">
        <v>79</v>
      </c>
      <c r="T55" s="165"/>
      <c r="U55" s="166"/>
      <c r="V55" s="165"/>
      <c r="Y55" s="165"/>
      <c r="Z55" s="166"/>
      <c r="AA55" s="165"/>
      <c r="AE55" s="165"/>
      <c r="AF55" s="166"/>
      <c r="AG55" s="165"/>
      <c r="AK55" s="165"/>
      <c r="AL55" s="166"/>
      <c r="AM55" s="165"/>
      <c r="AO55" s="162">
        <v>1</v>
      </c>
      <c r="AP55" s="175" t="s">
        <v>202</v>
      </c>
      <c r="AQ55" s="165" t="s">
        <v>661</v>
      </c>
      <c r="AR55" s="166">
        <v>2.4</v>
      </c>
      <c r="AS55" s="165" t="s">
        <v>79</v>
      </c>
      <c r="AW55" s="165"/>
      <c r="AX55" s="166"/>
      <c r="AY55" s="165"/>
      <c r="BC55" s="165"/>
      <c r="BD55" s="166"/>
      <c r="BE55" s="165"/>
    </row>
    <row r="56" spans="2:57" ht="15" customHeight="1" x14ac:dyDescent="0.25">
      <c r="E56" s="165"/>
      <c r="F56" s="166"/>
      <c r="G56" s="165"/>
      <c r="J56" s="165"/>
      <c r="K56" s="166"/>
      <c r="L56" s="165"/>
      <c r="M56" s="162">
        <v>1</v>
      </c>
      <c r="N56" s="162" t="s">
        <v>202</v>
      </c>
      <c r="O56" s="165" t="s">
        <v>661</v>
      </c>
      <c r="P56" s="166">
        <v>2.21</v>
      </c>
      <c r="Q56" s="165" t="s">
        <v>58</v>
      </c>
      <c r="T56" s="165"/>
      <c r="U56" s="166"/>
      <c r="V56" s="165"/>
      <c r="Y56" s="165"/>
      <c r="Z56" s="166"/>
      <c r="AA56" s="165"/>
      <c r="AE56" s="165"/>
      <c r="AF56" s="166"/>
      <c r="AG56" s="165"/>
      <c r="AK56" s="165"/>
      <c r="AL56" s="166"/>
      <c r="AM56" s="165"/>
      <c r="AP56" s="175" t="s">
        <v>202</v>
      </c>
      <c r="AQ56" s="165" t="s">
        <v>661</v>
      </c>
      <c r="AR56" s="166">
        <v>2.2000000000000002</v>
      </c>
      <c r="AS56" s="165" t="s">
        <v>58</v>
      </c>
      <c r="AW56" s="165"/>
      <c r="AX56" s="166"/>
      <c r="AY56" s="165"/>
      <c r="BC56" s="165"/>
      <c r="BD56" s="166"/>
      <c r="BE56" s="165"/>
    </row>
    <row r="57" spans="2:57" ht="15" customHeight="1" x14ac:dyDescent="0.25">
      <c r="B57" s="167" t="s">
        <v>729</v>
      </c>
      <c r="C57" s="162">
        <v>1</v>
      </c>
      <c r="D57" s="162" t="s">
        <v>201</v>
      </c>
      <c r="E57" s="165" t="s">
        <v>717</v>
      </c>
      <c r="F57" s="166">
        <v>10.62</v>
      </c>
      <c r="G57" s="165" t="s">
        <v>597</v>
      </c>
      <c r="H57" s="162">
        <v>1</v>
      </c>
      <c r="I57" s="162" t="s">
        <v>201</v>
      </c>
      <c r="J57" s="165" t="s">
        <v>717</v>
      </c>
      <c r="K57" s="166">
        <v>5.31</v>
      </c>
      <c r="L57" s="165" t="s">
        <v>112</v>
      </c>
      <c r="M57" s="162">
        <v>1</v>
      </c>
      <c r="N57" s="162" t="s">
        <v>591</v>
      </c>
      <c r="O57" s="165" t="s">
        <v>223</v>
      </c>
      <c r="P57" s="166" t="s">
        <v>223</v>
      </c>
      <c r="Q57" s="165" t="s">
        <v>227</v>
      </c>
      <c r="R57" s="162">
        <v>1</v>
      </c>
      <c r="S57" s="162" t="s">
        <v>201</v>
      </c>
      <c r="T57" s="165" t="s">
        <v>717</v>
      </c>
      <c r="U57" s="166">
        <v>5.31</v>
      </c>
      <c r="V57" s="165" t="s">
        <v>112</v>
      </c>
      <c r="W57" s="162">
        <v>1</v>
      </c>
      <c r="X57" s="162" t="s">
        <v>206</v>
      </c>
      <c r="Y57" s="165" t="s">
        <v>223</v>
      </c>
      <c r="Z57" s="166" t="s">
        <v>730</v>
      </c>
      <c r="AA57" s="165" t="s">
        <v>223</v>
      </c>
      <c r="AC57" s="162">
        <v>1</v>
      </c>
      <c r="AD57" s="170" t="s">
        <v>201</v>
      </c>
      <c r="AE57" s="165" t="s">
        <v>717</v>
      </c>
      <c r="AF57" s="166">
        <v>10.6</v>
      </c>
      <c r="AG57" s="165" t="s">
        <v>597</v>
      </c>
      <c r="AI57" s="162">
        <v>1</v>
      </c>
      <c r="AJ57" s="170" t="s">
        <v>201</v>
      </c>
      <c r="AK57" s="165" t="s">
        <v>717</v>
      </c>
      <c r="AL57" s="166">
        <v>5.3</v>
      </c>
      <c r="AM57" s="165" t="s">
        <v>112</v>
      </c>
      <c r="AO57" s="162">
        <v>1</v>
      </c>
      <c r="AP57" s="162" t="s">
        <v>591</v>
      </c>
      <c r="AQ57" s="165" t="s">
        <v>223</v>
      </c>
      <c r="AR57" s="166" t="s">
        <v>223</v>
      </c>
      <c r="AS57" s="165" t="s">
        <v>227</v>
      </c>
      <c r="AU57" s="162">
        <v>1</v>
      </c>
      <c r="AV57" s="170" t="s">
        <v>201</v>
      </c>
      <c r="AW57" s="165" t="s">
        <v>717</v>
      </c>
      <c r="AX57" s="166">
        <v>5.3</v>
      </c>
      <c r="AY57" s="165" t="s">
        <v>112</v>
      </c>
      <c r="BA57" s="162">
        <v>1</v>
      </c>
      <c r="BB57" s="162" t="s">
        <v>206</v>
      </c>
      <c r="BC57" s="165" t="s">
        <v>223</v>
      </c>
      <c r="BD57" s="166" t="s">
        <v>730</v>
      </c>
      <c r="BE57" s="165" t="s">
        <v>223</v>
      </c>
    </row>
    <row r="58" spans="2:57" ht="15" customHeight="1" x14ac:dyDescent="0.25">
      <c r="E58" s="165"/>
      <c r="F58" s="166"/>
      <c r="G58" s="165"/>
      <c r="J58" s="165"/>
      <c r="K58" s="166"/>
      <c r="L58" s="165"/>
      <c r="M58" s="162">
        <v>3</v>
      </c>
      <c r="N58" s="162" t="s">
        <v>198</v>
      </c>
      <c r="O58" s="165" t="s">
        <v>719</v>
      </c>
      <c r="P58" s="166">
        <v>0.21</v>
      </c>
      <c r="Q58" s="165" t="s">
        <v>225</v>
      </c>
      <c r="T58" s="165"/>
      <c r="U58" s="166"/>
      <c r="V58" s="165"/>
      <c r="Y58" s="165"/>
      <c r="Z58" s="166"/>
      <c r="AA58" s="165"/>
      <c r="AE58" s="165"/>
      <c r="AF58" s="166"/>
      <c r="AG58" s="165"/>
      <c r="AK58" s="165"/>
      <c r="AL58" s="166"/>
      <c r="AM58" s="165"/>
      <c r="AO58" s="162">
        <v>3</v>
      </c>
      <c r="AP58" s="171" t="s">
        <v>198</v>
      </c>
      <c r="AQ58" s="165" t="s">
        <v>719</v>
      </c>
      <c r="AR58" s="166">
        <v>0.2</v>
      </c>
      <c r="AS58" s="165" t="s">
        <v>225</v>
      </c>
      <c r="AW58" s="165"/>
      <c r="AX58" s="166"/>
      <c r="AY58" s="165"/>
      <c r="BC58" s="165"/>
      <c r="BD58" s="166"/>
      <c r="BE58" s="165"/>
    </row>
    <row r="59" spans="2:57" ht="15" customHeight="1" x14ac:dyDescent="0.25">
      <c r="E59" s="165"/>
      <c r="F59" s="166"/>
      <c r="G59" s="165"/>
      <c r="J59" s="165"/>
      <c r="K59" s="166"/>
      <c r="L59" s="165"/>
      <c r="M59" s="162">
        <v>3</v>
      </c>
      <c r="N59" s="162" t="s">
        <v>201</v>
      </c>
      <c r="O59" s="165" t="s">
        <v>717</v>
      </c>
      <c r="P59" s="166">
        <v>0.35399999999999998</v>
      </c>
      <c r="Q59" s="165" t="s">
        <v>228</v>
      </c>
      <c r="T59" s="165"/>
      <c r="U59" s="166"/>
      <c r="V59" s="165"/>
      <c r="Y59" s="165"/>
      <c r="Z59" s="166"/>
      <c r="AA59" s="165"/>
      <c r="AE59" s="165"/>
      <c r="AF59" s="166"/>
      <c r="AG59" s="165"/>
      <c r="AK59" s="165"/>
      <c r="AL59" s="166"/>
      <c r="AM59" s="165"/>
      <c r="AP59" s="170" t="s">
        <v>201</v>
      </c>
      <c r="AQ59" s="165" t="s">
        <v>717</v>
      </c>
      <c r="AR59" s="166">
        <v>0.4</v>
      </c>
      <c r="AS59" s="165" t="s">
        <v>228</v>
      </c>
      <c r="AW59" s="165"/>
      <c r="AX59" s="166"/>
      <c r="AY59" s="165"/>
      <c r="BC59" s="165"/>
      <c r="BD59" s="166"/>
      <c r="BE59" s="165"/>
    </row>
    <row r="60" spans="2:57" ht="15" customHeight="1" x14ac:dyDescent="0.25">
      <c r="E60" s="165"/>
      <c r="F60" s="166"/>
      <c r="G60" s="165"/>
      <c r="J60" s="165"/>
      <c r="K60" s="166"/>
      <c r="L60" s="165"/>
      <c r="M60" s="162">
        <v>3</v>
      </c>
      <c r="N60" s="162" t="s">
        <v>195</v>
      </c>
      <c r="O60" s="165" t="s">
        <v>659</v>
      </c>
      <c r="P60" s="166">
        <v>0.16200000000000001</v>
      </c>
      <c r="Q60" s="165" t="s">
        <v>229</v>
      </c>
      <c r="T60" s="165"/>
      <c r="U60" s="166"/>
      <c r="V60" s="165"/>
      <c r="Y60" s="165"/>
      <c r="Z60" s="166"/>
      <c r="AA60" s="165"/>
      <c r="AE60" s="165"/>
      <c r="AF60" s="166"/>
      <c r="AG60" s="165"/>
      <c r="AK60" s="165"/>
      <c r="AL60" s="166"/>
      <c r="AM60" s="165"/>
      <c r="AO60" s="162">
        <v>3</v>
      </c>
      <c r="AP60" s="164" t="s">
        <v>195</v>
      </c>
      <c r="AQ60" s="165" t="s">
        <v>659</v>
      </c>
      <c r="AR60" s="166">
        <v>0.15</v>
      </c>
      <c r="AS60" s="165" t="s">
        <v>229</v>
      </c>
      <c r="AW60" s="165"/>
      <c r="AX60" s="166"/>
      <c r="AY60" s="165"/>
      <c r="BC60" s="165"/>
      <c r="BD60" s="166"/>
      <c r="BE60" s="165"/>
    </row>
    <row r="61" spans="2:57" ht="15" customHeight="1" x14ac:dyDescent="0.25">
      <c r="E61" s="165"/>
      <c r="F61" s="166"/>
      <c r="G61" s="165"/>
      <c r="J61" s="165"/>
      <c r="K61" s="166"/>
      <c r="L61" s="165"/>
      <c r="M61" s="162">
        <v>3</v>
      </c>
      <c r="N61" s="162" t="s">
        <v>201</v>
      </c>
      <c r="O61" s="165" t="s">
        <v>717</v>
      </c>
      <c r="P61" s="166">
        <v>0.26500000000000001</v>
      </c>
      <c r="Q61" s="165" t="s">
        <v>236</v>
      </c>
      <c r="T61" s="165"/>
      <c r="U61" s="166"/>
      <c r="V61" s="165"/>
      <c r="Y61" s="165"/>
      <c r="Z61" s="166"/>
      <c r="AA61" s="165"/>
      <c r="AE61" s="165"/>
      <c r="AF61" s="166"/>
      <c r="AG61" s="165"/>
      <c r="AK61" s="165"/>
      <c r="AL61" s="166"/>
      <c r="AM61" s="165"/>
      <c r="AP61" s="170" t="s">
        <v>201</v>
      </c>
      <c r="AQ61" s="165" t="s">
        <v>717</v>
      </c>
      <c r="AR61" s="166">
        <v>0.25</v>
      </c>
      <c r="AS61" s="165" t="s">
        <v>236</v>
      </c>
      <c r="AW61" s="165"/>
      <c r="AX61" s="166"/>
      <c r="AY61" s="165"/>
      <c r="BC61" s="165"/>
      <c r="BD61" s="166"/>
      <c r="BE61" s="165"/>
    </row>
    <row r="62" spans="2:57" ht="15" customHeight="1" x14ac:dyDescent="0.25">
      <c r="E62" s="165"/>
      <c r="F62" s="166"/>
      <c r="G62" s="165"/>
      <c r="J62" s="165"/>
      <c r="K62" s="166"/>
      <c r="L62" s="165"/>
      <c r="M62" s="162">
        <v>3</v>
      </c>
      <c r="N62" s="162" t="s">
        <v>241</v>
      </c>
      <c r="O62" s="165" t="s">
        <v>718</v>
      </c>
      <c r="P62" s="166">
        <v>0.113</v>
      </c>
      <c r="Q62" s="165" t="s">
        <v>230</v>
      </c>
      <c r="T62" s="165"/>
      <c r="U62" s="166"/>
      <c r="V62" s="165"/>
      <c r="Y62" s="165"/>
      <c r="Z62" s="166"/>
      <c r="AA62" s="165"/>
      <c r="AE62" s="165"/>
      <c r="AF62" s="166"/>
      <c r="AG62" s="165"/>
      <c r="AK62" s="165"/>
      <c r="AL62" s="166"/>
      <c r="AM62" s="165"/>
      <c r="AO62" s="162">
        <v>3</v>
      </c>
      <c r="AP62" s="174" t="s">
        <v>241</v>
      </c>
      <c r="AQ62" s="165" t="s">
        <v>718</v>
      </c>
      <c r="AR62" s="166">
        <v>0.1</v>
      </c>
      <c r="AS62" s="165" t="s">
        <v>230</v>
      </c>
      <c r="AW62" s="165"/>
      <c r="AX62" s="166"/>
      <c r="AY62" s="165"/>
      <c r="BC62" s="165"/>
      <c r="BD62" s="166"/>
      <c r="BE62" s="165"/>
    </row>
    <row r="63" spans="2:57" ht="15" customHeight="1" x14ac:dyDescent="0.25">
      <c r="E63" s="165"/>
      <c r="F63" s="166"/>
      <c r="G63" s="165"/>
      <c r="J63" s="165"/>
      <c r="K63" s="166"/>
      <c r="L63" s="165"/>
      <c r="M63" s="162">
        <v>3</v>
      </c>
      <c r="N63" s="162" t="s">
        <v>201</v>
      </c>
      <c r="O63" s="165" t="s">
        <v>717</v>
      </c>
      <c r="P63" s="166">
        <v>0.17699999999999999</v>
      </c>
      <c r="Q63" s="165" t="s">
        <v>225</v>
      </c>
      <c r="T63" s="165"/>
      <c r="U63" s="166"/>
      <c r="V63" s="165"/>
      <c r="Y63" s="165"/>
      <c r="Z63" s="166"/>
      <c r="AA63" s="165"/>
      <c r="AE63" s="165"/>
      <c r="AF63" s="166"/>
      <c r="AG63" s="165"/>
      <c r="AK63" s="165"/>
      <c r="AL63" s="166"/>
      <c r="AM63" s="165"/>
      <c r="AP63" s="170" t="s">
        <v>201</v>
      </c>
      <c r="AQ63" s="165" t="s">
        <v>717</v>
      </c>
      <c r="AR63" s="166">
        <v>0.2</v>
      </c>
      <c r="AS63" s="165" t="s">
        <v>225</v>
      </c>
      <c r="AW63" s="165"/>
      <c r="AX63" s="166"/>
      <c r="AY63" s="165"/>
      <c r="BC63" s="165"/>
      <c r="BD63" s="166"/>
      <c r="BE63" s="165"/>
    </row>
    <row r="64" spans="2:57" ht="15" customHeight="1" x14ac:dyDescent="0.25">
      <c r="B64" s="167" t="s">
        <v>731</v>
      </c>
      <c r="C64" s="162">
        <v>1</v>
      </c>
      <c r="D64" s="162" t="s">
        <v>201</v>
      </c>
      <c r="E64" s="165" t="s">
        <v>717</v>
      </c>
      <c r="F64" s="166">
        <v>11.5</v>
      </c>
      <c r="G64" s="165" t="s">
        <v>732</v>
      </c>
      <c r="H64" s="162">
        <v>1</v>
      </c>
      <c r="I64" s="162" t="s">
        <v>201</v>
      </c>
      <c r="J64" s="165" t="s">
        <v>717</v>
      </c>
      <c r="K64" s="166">
        <v>5.49</v>
      </c>
      <c r="L64" s="165" t="s">
        <v>248</v>
      </c>
      <c r="M64" s="162">
        <v>1</v>
      </c>
      <c r="N64" s="162" t="s">
        <v>255</v>
      </c>
      <c r="O64" s="165" t="s">
        <v>223</v>
      </c>
      <c r="P64" s="166" t="s">
        <v>223</v>
      </c>
      <c r="Q64" s="165" t="s">
        <v>227</v>
      </c>
      <c r="R64" s="162">
        <v>1</v>
      </c>
      <c r="S64" s="162" t="s">
        <v>201</v>
      </c>
      <c r="T64" s="165" t="s">
        <v>717</v>
      </c>
      <c r="U64" s="166">
        <v>5.31</v>
      </c>
      <c r="V64" s="165" t="s">
        <v>112</v>
      </c>
      <c r="W64" s="162">
        <v>1</v>
      </c>
      <c r="X64" s="162" t="s">
        <v>206</v>
      </c>
      <c r="Y64" s="165" t="s">
        <v>662</v>
      </c>
      <c r="Z64" s="166">
        <v>17.36</v>
      </c>
      <c r="AA64" s="165" t="s">
        <v>733</v>
      </c>
      <c r="AC64" s="162">
        <v>1</v>
      </c>
      <c r="AD64" s="170" t="s">
        <v>201</v>
      </c>
      <c r="AE64" s="165" t="s">
        <v>717</v>
      </c>
      <c r="AF64" s="166">
        <v>11.5</v>
      </c>
      <c r="AG64" s="165" t="s">
        <v>732</v>
      </c>
      <c r="AI64" s="162">
        <v>1</v>
      </c>
      <c r="AJ64" s="170" t="s">
        <v>201</v>
      </c>
      <c r="AK64" s="165" t="s">
        <v>717</v>
      </c>
      <c r="AL64" s="166">
        <v>5.5</v>
      </c>
      <c r="AM64" s="165" t="s">
        <v>248</v>
      </c>
      <c r="AO64" s="162">
        <v>1</v>
      </c>
      <c r="AP64" s="162" t="s">
        <v>255</v>
      </c>
      <c r="AQ64" s="165" t="s">
        <v>223</v>
      </c>
      <c r="AR64" s="166" t="s">
        <v>223</v>
      </c>
      <c r="AS64" s="165" t="s">
        <v>227</v>
      </c>
      <c r="AU64" s="162">
        <v>1</v>
      </c>
      <c r="AV64" s="170" t="s">
        <v>201</v>
      </c>
      <c r="AW64" s="165" t="s">
        <v>717</v>
      </c>
      <c r="AX64" s="166">
        <v>5.3</v>
      </c>
      <c r="AY64" s="165" t="s">
        <v>112</v>
      </c>
      <c r="BA64" s="162">
        <v>1</v>
      </c>
      <c r="BB64" s="162" t="s">
        <v>206</v>
      </c>
      <c r="BC64" s="165" t="s">
        <v>223</v>
      </c>
      <c r="BD64" s="166" t="s">
        <v>223</v>
      </c>
      <c r="BE64" s="165" t="s">
        <v>733</v>
      </c>
    </row>
    <row r="65" spans="2:57" ht="15" customHeight="1" x14ac:dyDescent="0.25">
      <c r="E65" s="165"/>
      <c r="F65" s="166"/>
      <c r="G65" s="165"/>
      <c r="J65" s="165"/>
      <c r="K65" s="166"/>
      <c r="L65" s="165"/>
      <c r="M65" s="162">
        <v>3</v>
      </c>
      <c r="N65" s="162" t="s">
        <v>198</v>
      </c>
      <c r="O65" s="165" t="s">
        <v>719</v>
      </c>
      <c r="P65" s="166">
        <v>1.68</v>
      </c>
      <c r="Q65" s="165" t="s">
        <v>253</v>
      </c>
      <c r="T65" s="165"/>
      <c r="U65" s="166"/>
      <c r="V65" s="165"/>
      <c r="Y65" s="165"/>
      <c r="Z65" s="166"/>
      <c r="AA65" s="165"/>
      <c r="AE65" s="165"/>
      <c r="AF65" s="166"/>
      <c r="AG65" s="165"/>
      <c r="AK65" s="165"/>
      <c r="AL65" s="166"/>
      <c r="AM65" s="165"/>
      <c r="AO65" s="162">
        <v>3</v>
      </c>
      <c r="AP65" s="171" t="s">
        <v>198</v>
      </c>
      <c r="AQ65" s="165" t="s">
        <v>719</v>
      </c>
      <c r="AR65" s="166">
        <v>1.7</v>
      </c>
      <c r="AS65" s="165" t="s">
        <v>253</v>
      </c>
      <c r="AW65" s="165"/>
      <c r="AX65" s="166"/>
      <c r="AY65" s="165"/>
      <c r="BC65" s="165"/>
      <c r="BD65" s="166"/>
      <c r="BE65" s="165"/>
    </row>
    <row r="66" spans="2:57" ht="15" customHeight="1" x14ac:dyDescent="0.25">
      <c r="E66" s="165"/>
      <c r="F66" s="166"/>
      <c r="G66" s="165"/>
      <c r="J66" s="165"/>
      <c r="K66" s="166"/>
      <c r="L66" s="165"/>
      <c r="M66" s="162">
        <v>3</v>
      </c>
      <c r="N66" s="162" t="s">
        <v>201</v>
      </c>
      <c r="O66" s="165" t="s">
        <v>717</v>
      </c>
      <c r="P66" s="166">
        <v>0.53100000000000003</v>
      </c>
      <c r="Q66" s="165" t="s">
        <v>235</v>
      </c>
      <c r="T66" s="165"/>
      <c r="U66" s="166"/>
      <c r="V66" s="165"/>
      <c r="Y66" s="165"/>
      <c r="Z66" s="166"/>
      <c r="AA66" s="165"/>
      <c r="AE66" s="165"/>
      <c r="AF66" s="166"/>
      <c r="AG66" s="165"/>
      <c r="AK66" s="165"/>
      <c r="AL66" s="166"/>
      <c r="AM66" s="165"/>
      <c r="AP66" s="170" t="s">
        <v>201</v>
      </c>
      <c r="AQ66" s="165" t="s">
        <v>717</v>
      </c>
      <c r="AR66" s="166">
        <v>0.5</v>
      </c>
      <c r="AS66" s="165" t="s">
        <v>235</v>
      </c>
      <c r="AW66" s="165"/>
      <c r="AX66" s="166"/>
      <c r="AY66" s="165"/>
      <c r="BC66" s="165"/>
      <c r="BD66" s="166"/>
      <c r="BE66" s="165"/>
    </row>
    <row r="67" spans="2:57" ht="15" customHeight="1" x14ac:dyDescent="0.25">
      <c r="E67" s="165"/>
      <c r="F67" s="166"/>
      <c r="G67" s="165"/>
      <c r="J67" s="165"/>
      <c r="K67" s="166"/>
      <c r="L67" s="165"/>
      <c r="M67" s="162">
        <v>3</v>
      </c>
      <c r="N67" s="162" t="s">
        <v>195</v>
      </c>
      <c r="O67" s="165" t="s">
        <v>659</v>
      </c>
      <c r="P67" s="166">
        <v>0.86599999999999999</v>
      </c>
      <c r="Q67" s="165" t="s">
        <v>256</v>
      </c>
      <c r="T67" s="165"/>
      <c r="U67" s="166"/>
      <c r="V67" s="165"/>
      <c r="Y67" s="165"/>
      <c r="Z67" s="166"/>
      <c r="AA67" s="165"/>
      <c r="AE67" s="165"/>
      <c r="AF67" s="166"/>
      <c r="AG67" s="165"/>
      <c r="AK67" s="165"/>
      <c r="AL67" s="166"/>
      <c r="AM67" s="165"/>
      <c r="AO67" s="162">
        <v>3</v>
      </c>
      <c r="AP67" s="164" t="s">
        <v>195</v>
      </c>
      <c r="AQ67" s="165" t="s">
        <v>659</v>
      </c>
      <c r="AR67" s="166">
        <v>0.9</v>
      </c>
      <c r="AS67" s="165" t="s">
        <v>256</v>
      </c>
      <c r="AW67" s="165"/>
      <c r="AX67" s="166"/>
      <c r="AY67" s="165"/>
      <c r="BC67" s="165"/>
      <c r="BD67" s="166"/>
      <c r="BE67" s="165"/>
    </row>
    <row r="68" spans="2:57" ht="15" customHeight="1" x14ac:dyDescent="0.25">
      <c r="E68" s="165"/>
      <c r="F68" s="166"/>
      <c r="G68" s="165"/>
      <c r="J68" s="165"/>
      <c r="K68" s="166"/>
      <c r="L68" s="165"/>
      <c r="M68" s="162">
        <v>3</v>
      </c>
      <c r="N68" s="162" t="s">
        <v>201</v>
      </c>
      <c r="O68" s="165" t="s">
        <v>717</v>
      </c>
      <c r="P68" s="166">
        <v>0.35399999999999998</v>
      </c>
      <c r="Q68" s="165" t="s">
        <v>228</v>
      </c>
      <c r="T68" s="165"/>
      <c r="U68" s="166"/>
      <c r="V68" s="165"/>
      <c r="Y68" s="165"/>
      <c r="Z68" s="166"/>
      <c r="AA68" s="165"/>
      <c r="AE68" s="165"/>
      <c r="AF68" s="166"/>
      <c r="AG68" s="165"/>
      <c r="AK68" s="165"/>
      <c r="AL68" s="166"/>
      <c r="AM68" s="165"/>
      <c r="AP68" s="170" t="s">
        <v>201</v>
      </c>
      <c r="AQ68" s="165" t="s">
        <v>717</v>
      </c>
      <c r="AR68" s="166">
        <v>0.4</v>
      </c>
      <c r="AS68" s="165" t="s">
        <v>228</v>
      </c>
      <c r="AW68" s="165"/>
      <c r="AX68" s="166"/>
      <c r="AY68" s="165"/>
      <c r="BC68" s="165"/>
      <c r="BD68" s="166"/>
      <c r="BE68" s="165"/>
    </row>
    <row r="69" spans="2:57" ht="15" customHeight="1" x14ac:dyDescent="0.25">
      <c r="E69" s="165"/>
      <c r="F69" s="166"/>
      <c r="G69" s="165"/>
      <c r="J69" s="165"/>
      <c r="K69" s="166"/>
      <c r="L69" s="165"/>
      <c r="M69" s="162">
        <v>3</v>
      </c>
      <c r="N69" s="162" t="s">
        <v>241</v>
      </c>
      <c r="O69" s="165" t="s">
        <v>718</v>
      </c>
      <c r="P69" s="166">
        <v>0.45300000000000001</v>
      </c>
      <c r="Q69" s="165" t="s">
        <v>228</v>
      </c>
      <c r="T69" s="165"/>
      <c r="U69" s="166"/>
      <c r="V69" s="165"/>
      <c r="Y69" s="165"/>
      <c r="Z69" s="166"/>
      <c r="AA69" s="165"/>
      <c r="AE69" s="165"/>
      <c r="AF69" s="166"/>
      <c r="AG69" s="165"/>
      <c r="AK69" s="165"/>
      <c r="AL69" s="166"/>
      <c r="AM69" s="165"/>
      <c r="AO69" s="162">
        <v>3</v>
      </c>
      <c r="AP69" s="174" t="s">
        <v>241</v>
      </c>
      <c r="AQ69" s="165" t="s">
        <v>718</v>
      </c>
      <c r="AR69" s="166">
        <v>0.5</v>
      </c>
      <c r="AS69" s="165" t="s">
        <v>228</v>
      </c>
      <c r="AW69" s="165"/>
      <c r="AX69" s="166"/>
      <c r="AY69" s="165"/>
      <c r="BC69" s="165"/>
      <c r="BD69" s="166"/>
      <c r="BE69" s="165"/>
    </row>
    <row r="70" spans="2:57" ht="15" customHeight="1" x14ac:dyDescent="0.25">
      <c r="E70" s="165"/>
      <c r="F70" s="166"/>
      <c r="G70" s="165"/>
      <c r="J70" s="165"/>
      <c r="K70" s="166"/>
      <c r="L70" s="165"/>
      <c r="M70" s="162">
        <v>3</v>
      </c>
      <c r="N70" s="162" t="s">
        <v>201</v>
      </c>
      <c r="O70" s="165" t="s">
        <v>717</v>
      </c>
      <c r="P70" s="166">
        <v>0.35399999999999998</v>
      </c>
      <c r="Q70" s="165" t="s">
        <v>228</v>
      </c>
      <c r="T70" s="165"/>
      <c r="U70" s="166"/>
      <c r="V70" s="165"/>
      <c r="Y70" s="165"/>
      <c r="Z70" s="166"/>
      <c r="AA70" s="165"/>
      <c r="AE70" s="165"/>
      <c r="AF70" s="166"/>
      <c r="AG70" s="165"/>
      <c r="AK70" s="165"/>
      <c r="AL70" s="166"/>
      <c r="AM70" s="165"/>
      <c r="AP70" s="170" t="s">
        <v>201</v>
      </c>
      <c r="AQ70" s="165" t="s">
        <v>717</v>
      </c>
      <c r="AR70" s="166">
        <v>0.4</v>
      </c>
      <c r="AS70" s="165" t="s">
        <v>228</v>
      </c>
      <c r="AW70" s="165"/>
      <c r="AX70" s="166"/>
      <c r="AY70" s="165"/>
      <c r="BC70" s="165"/>
      <c r="BD70" s="166"/>
      <c r="BE70" s="165"/>
    </row>
    <row r="71" spans="2:57" ht="15" customHeight="1" x14ac:dyDescent="0.25">
      <c r="B71" s="167" t="s">
        <v>734</v>
      </c>
      <c r="C71" s="162">
        <v>1</v>
      </c>
      <c r="D71" s="162" t="s">
        <v>201</v>
      </c>
      <c r="E71" s="165" t="s">
        <v>717</v>
      </c>
      <c r="F71" s="166">
        <v>13.27</v>
      </c>
      <c r="G71" s="165" t="s">
        <v>141</v>
      </c>
      <c r="H71" s="162">
        <v>1</v>
      </c>
      <c r="I71" s="162" t="s">
        <v>201</v>
      </c>
      <c r="J71" s="165" t="s">
        <v>717</v>
      </c>
      <c r="K71" s="166">
        <v>4.42</v>
      </c>
      <c r="L71" s="165" t="s">
        <v>226</v>
      </c>
      <c r="M71" s="162">
        <v>1</v>
      </c>
      <c r="N71" s="162" t="s">
        <v>255</v>
      </c>
      <c r="O71" s="165" t="s">
        <v>223</v>
      </c>
      <c r="P71" s="166" t="s">
        <v>223</v>
      </c>
      <c r="Q71" s="165" t="s">
        <v>227</v>
      </c>
      <c r="R71" s="162">
        <v>1</v>
      </c>
      <c r="S71" s="162" t="s">
        <v>201</v>
      </c>
      <c r="T71" s="165" t="s">
        <v>717</v>
      </c>
      <c r="U71" s="166">
        <v>5.31</v>
      </c>
      <c r="V71" s="165" t="s">
        <v>112</v>
      </c>
      <c r="W71" s="162">
        <v>1</v>
      </c>
      <c r="X71" s="162" t="s">
        <v>206</v>
      </c>
      <c r="Y71" s="165" t="s">
        <v>223</v>
      </c>
      <c r="Z71" s="166" t="s">
        <v>735</v>
      </c>
      <c r="AA71" s="165" t="s">
        <v>223</v>
      </c>
      <c r="AC71" s="162">
        <v>1</v>
      </c>
      <c r="AD71" s="170" t="s">
        <v>201</v>
      </c>
      <c r="AE71" s="165" t="s">
        <v>717</v>
      </c>
      <c r="AF71" s="166">
        <v>13.3</v>
      </c>
      <c r="AG71" s="165" t="s">
        <v>141</v>
      </c>
      <c r="AI71" s="162">
        <v>1</v>
      </c>
      <c r="AJ71" s="170" t="s">
        <v>201</v>
      </c>
      <c r="AK71" s="165" t="s">
        <v>717</v>
      </c>
      <c r="AL71" s="166">
        <v>4.4000000000000004</v>
      </c>
      <c r="AM71" s="165" t="s">
        <v>226</v>
      </c>
      <c r="AO71" s="162">
        <v>1</v>
      </c>
      <c r="AP71" s="162" t="s">
        <v>255</v>
      </c>
      <c r="AQ71" s="165" t="s">
        <v>223</v>
      </c>
      <c r="AR71" s="166" t="s">
        <v>223</v>
      </c>
      <c r="AS71" s="165" t="s">
        <v>227</v>
      </c>
      <c r="AU71" s="162">
        <v>1</v>
      </c>
      <c r="AV71" s="170" t="s">
        <v>201</v>
      </c>
      <c r="AW71" s="165" t="s">
        <v>717</v>
      </c>
      <c r="AX71" s="166">
        <v>5.3</v>
      </c>
      <c r="AY71" s="165" t="s">
        <v>112</v>
      </c>
      <c r="BA71" s="162">
        <v>1</v>
      </c>
      <c r="BB71" s="162" t="s">
        <v>206</v>
      </c>
      <c r="BC71" s="165" t="s">
        <v>223</v>
      </c>
      <c r="BD71" s="166" t="s">
        <v>735</v>
      </c>
      <c r="BE71" s="165" t="s">
        <v>223</v>
      </c>
    </row>
    <row r="72" spans="2:57" ht="15" customHeight="1" x14ac:dyDescent="0.25">
      <c r="E72" s="165"/>
      <c r="F72" s="166"/>
      <c r="G72" s="165"/>
      <c r="J72" s="165"/>
      <c r="K72" s="166"/>
      <c r="L72" s="165"/>
      <c r="M72" s="162">
        <v>7</v>
      </c>
      <c r="N72" s="162" t="s">
        <v>195</v>
      </c>
      <c r="O72" s="165" t="s">
        <v>659</v>
      </c>
      <c r="P72" s="166">
        <v>0.433</v>
      </c>
      <c r="Q72" s="165" t="s">
        <v>228</v>
      </c>
      <c r="T72" s="165"/>
      <c r="U72" s="166"/>
      <c r="V72" s="165"/>
      <c r="Y72" s="165"/>
      <c r="Z72" s="166"/>
      <c r="AA72" s="165"/>
      <c r="AE72" s="165"/>
      <c r="AF72" s="166"/>
      <c r="AG72" s="165"/>
      <c r="AK72" s="165"/>
      <c r="AL72" s="166"/>
      <c r="AM72" s="165"/>
      <c r="AO72" s="162">
        <v>7</v>
      </c>
      <c r="AP72" s="164" t="s">
        <v>195</v>
      </c>
      <c r="AQ72" s="165" t="s">
        <v>659</v>
      </c>
      <c r="AR72" s="166">
        <v>0.4</v>
      </c>
      <c r="AS72" s="165" t="s">
        <v>228</v>
      </c>
      <c r="AW72" s="165"/>
      <c r="AX72" s="166"/>
      <c r="AY72" s="165"/>
      <c r="BC72" s="165"/>
      <c r="BD72" s="166"/>
      <c r="BE72" s="165"/>
    </row>
    <row r="73" spans="2:57" ht="15" customHeight="1" x14ac:dyDescent="0.25">
      <c r="E73" s="165"/>
      <c r="F73" s="166"/>
      <c r="G73" s="165"/>
      <c r="J73" s="165"/>
      <c r="K73" s="166"/>
      <c r="L73" s="165"/>
      <c r="M73" s="162">
        <v>7</v>
      </c>
      <c r="N73" s="162" t="s">
        <v>201</v>
      </c>
      <c r="O73" s="165" t="s">
        <v>717</v>
      </c>
      <c r="P73" s="166">
        <v>0.17699999999999999</v>
      </c>
      <c r="Q73" s="165" t="s">
        <v>225</v>
      </c>
      <c r="T73" s="165"/>
      <c r="U73" s="166"/>
      <c r="V73" s="165"/>
      <c r="Y73" s="165"/>
      <c r="Z73" s="166"/>
      <c r="AA73" s="165"/>
      <c r="AE73" s="165"/>
      <c r="AF73" s="166"/>
      <c r="AG73" s="165"/>
      <c r="AK73" s="165"/>
      <c r="AL73" s="166"/>
      <c r="AM73" s="165"/>
      <c r="AP73" s="170" t="s">
        <v>201</v>
      </c>
      <c r="AQ73" s="165" t="s">
        <v>717</v>
      </c>
      <c r="AR73" s="166">
        <v>0.2</v>
      </c>
      <c r="AS73" s="165" t="s">
        <v>225</v>
      </c>
      <c r="AW73" s="165"/>
      <c r="AX73" s="166"/>
      <c r="AY73" s="165"/>
      <c r="BC73" s="165"/>
      <c r="BD73" s="166"/>
      <c r="BE73" s="165"/>
    </row>
    <row r="74" spans="2:57" ht="15" customHeight="1" x14ac:dyDescent="0.25">
      <c r="B74" s="167" t="s">
        <v>736</v>
      </c>
      <c r="C74" s="162">
        <v>1</v>
      </c>
      <c r="D74" s="162" t="s">
        <v>201</v>
      </c>
      <c r="E74" s="165" t="s">
        <v>717</v>
      </c>
      <c r="F74" s="166">
        <v>7.96</v>
      </c>
      <c r="G74" s="165" t="s">
        <v>252</v>
      </c>
      <c r="H74" s="162">
        <v>1</v>
      </c>
      <c r="I74" s="162" t="s">
        <v>201</v>
      </c>
      <c r="J74" s="165" t="s">
        <v>717</v>
      </c>
      <c r="K74" s="166">
        <v>7.96</v>
      </c>
      <c r="L74" s="165" t="s">
        <v>252</v>
      </c>
      <c r="M74" s="162">
        <v>1</v>
      </c>
      <c r="N74" s="162" t="s">
        <v>255</v>
      </c>
      <c r="O74" s="165" t="s">
        <v>223</v>
      </c>
      <c r="P74" s="166" t="s">
        <v>223</v>
      </c>
      <c r="Q74" s="165" t="s">
        <v>227</v>
      </c>
      <c r="R74" s="162">
        <v>1</v>
      </c>
      <c r="S74" s="162" t="s">
        <v>201</v>
      </c>
      <c r="T74" s="165" t="s">
        <v>717</v>
      </c>
      <c r="U74" s="166">
        <v>4.42</v>
      </c>
      <c r="V74" s="165" t="s">
        <v>226</v>
      </c>
      <c r="W74" s="162">
        <v>1</v>
      </c>
      <c r="X74" s="162" t="s">
        <v>206</v>
      </c>
      <c r="Y74" s="165" t="s">
        <v>223</v>
      </c>
      <c r="Z74" s="166" t="s">
        <v>737</v>
      </c>
      <c r="AA74" s="165" t="s">
        <v>223</v>
      </c>
      <c r="AC74" s="162">
        <v>1</v>
      </c>
      <c r="AD74" s="170" t="s">
        <v>201</v>
      </c>
      <c r="AE74" s="165" t="s">
        <v>717</v>
      </c>
      <c r="AF74" s="166">
        <v>8</v>
      </c>
      <c r="AG74" s="165" t="s">
        <v>252</v>
      </c>
      <c r="AI74" s="162">
        <v>1</v>
      </c>
      <c r="AJ74" s="170" t="s">
        <v>201</v>
      </c>
      <c r="AK74" s="165" t="s">
        <v>717</v>
      </c>
      <c r="AL74" s="166">
        <v>8</v>
      </c>
      <c r="AM74" s="165" t="s">
        <v>252</v>
      </c>
      <c r="AO74" s="162">
        <v>1</v>
      </c>
      <c r="AP74" s="162" t="s">
        <v>255</v>
      </c>
      <c r="AQ74" s="165" t="s">
        <v>223</v>
      </c>
      <c r="AR74" s="166" t="s">
        <v>223</v>
      </c>
      <c r="AS74" s="165" t="s">
        <v>227</v>
      </c>
      <c r="AU74" s="162">
        <v>1</v>
      </c>
      <c r="AV74" s="170" t="s">
        <v>201</v>
      </c>
      <c r="AW74" s="165" t="s">
        <v>717</v>
      </c>
      <c r="AX74" s="166">
        <v>4.4000000000000004</v>
      </c>
      <c r="AY74" s="165" t="s">
        <v>226</v>
      </c>
      <c r="BA74" s="162">
        <v>1</v>
      </c>
      <c r="BB74" s="162" t="s">
        <v>206</v>
      </c>
      <c r="BC74" s="165" t="s">
        <v>223</v>
      </c>
      <c r="BD74" s="166" t="s">
        <v>737</v>
      </c>
      <c r="BE74" s="165" t="s">
        <v>223</v>
      </c>
    </row>
    <row r="75" spans="2:57" ht="15" customHeight="1" x14ac:dyDescent="0.25">
      <c r="E75" s="165"/>
      <c r="F75" s="166"/>
      <c r="G75" s="165"/>
      <c r="J75" s="165"/>
      <c r="K75" s="166"/>
      <c r="L75" s="165"/>
      <c r="M75" s="162">
        <v>1</v>
      </c>
      <c r="N75" s="162" t="s">
        <v>241</v>
      </c>
      <c r="O75" s="165" t="s">
        <v>718</v>
      </c>
      <c r="P75" s="166">
        <v>0.22600000000000001</v>
      </c>
      <c r="Q75" s="165" t="s">
        <v>225</v>
      </c>
      <c r="T75" s="165"/>
      <c r="U75" s="166"/>
      <c r="V75" s="165"/>
      <c r="Y75" s="165"/>
      <c r="Z75" s="166"/>
      <c r="AA75" s="165"/>
      <c r="AE75" s="165"/>
      <c r="AF75" s="166"/>
      <c r="AG75" s="165"/>
      <c r="AK75" s="165"/>
      <c r="AL75" s="166"/>
      <c r="AM75" s="165"/>
      <c r="AO75" s="162">
        <v>1</v>
      </c>
      <c r="AP75" s="174" t="s">
        <v>241</v>
      </c>
      <c r="AQ75" s="165" t="s">
        <v>718</v>
      </c>
      <c r="AR75" s="166">
        <v>0.25</v>
      </c>
      <c r="AS75" s="165" t="s">
        <v>225</v>
      </c>
      <c r="AW75" s="165"/>
      <c r="AX75" s="166"/>
      <c r="AY75" s="165"/>
      <c r="BC75" s="165"/>
      <c r="BD75" s="166"/>
      <c r="BE75" s="165"/>
    </row>
    <row r="76" spans="2:57" ht="15" customHeight="1" x14ac:dyDescent="0.25">
      <c r="E76" s="165"/>
      <c r="F76" s="166"/>
      <c r="G76" s="165"/>
      <c r="J76" s="165"/>
      <c r="K76" s="166"/>
      <c r="L76" s="165"/>
      <c r="M76" s="162">
        <v>1</v>
      </c>
      <c r="N76" s="162" t="s">
        <v>201</v>
      </c>
      <c r="O76" s="165" t="s">
        <v>717</v>
      </c>
      <c r="P76" s="166">
        <v>8.7999999999999995E-2</v>
      </c>
      <c r="Q76" s="165" t="s">
        <v>230</v>
      </c>
      <c r="T76" s="165"/>
      <c r="U76" s="166"/>
      <c r="V76" s="165"/>
      <c r="Y76" s="165"/>
      <c r="Z76" s="166"/>
      <c r="AA76" s="165"/>
      <c r="AE76" s="165"/>
      <c r="AF76" s="166"/>
      <c r="AG76" s="165"/>
      <c r="AK76" s="165"/>
      <c r="AL76" s="166"/>
      <c r="AM76" s="165"/>
      <c r="AP76" s="170" t="s">
        <v>201</v>
      </c>
      <c r="AQ76" s="165" t="s">
        <v>717</v>
      </c>
      <c r="AR76" s="166">
        <v>0.1</v>
      </c>
      <c r="AS76" s="165" t="s">
        <v>230</v>
      </c>
      <c r="AW76" s="165"/>
      <c r="AX76" s="166"/>
      <c r="AY76" s="165"/>
      <c r="BC76" s="165"/>
      <c r="BD76" s="166"/>
      <c r="BE76" s="165"/>
    </row>
    <row r="77" spans="2:57" ht="15" customHeight="1" x14ac:dyDescent="0.25">
      <c r="E77" s="165"/>
      <c r="F77" s="166"/>
      <c r="G77" s="165"/>
      <c r="J77" s="165"/>
      <c r="K77" s="166"/>
      <c r="L77" s="165"/>
      <c r="M77" s="162">
        <v>1</v>
      </c>
      <c r="N77" s="162" t="s">
        <v>195</v>
      </c>
      <c r="O77" s="165" t="s">
        <v>659</v>
      </c>
      <c r="P77" s="166">
        <v>1.08</v>
      </c>
      <c r="Q77" s="165" t="s">
        <v>227</v>
      </c>
      <c r="T77" s="165"/>
      <c r="U77" s="166"/>
      <c r="V77" s="165"/>
      <c r="Y77" s="165"/>
      <c r="Z77" s="166"/>
      <c r="AA77" s="165"/>
      <c r="AE77" s="165"/>
      <c r="AF77" s="166"/>
      <c r="AG77" s="165"/>
      <c r="AK77" s="165"/>
      <c r="AL77" s="166"/>
      <c r="AM77" s="165"/>
      <c r="AO77" s="162">
        <v>1</v>
      </c>
      <c r="AP77" s="164" t="s">
        <v>195</v>
      </c>
      <c r="AQ77" s="165" t="s">
        <v>659</v>
      </c>
      <c r="AR77" s="166">
        <v>1.1000000000000001</v>
      </c>
      <c r="AS77" s="165" t="s">
        <v>227</v>
      </c>
      <c r="AW77" s="165"/>
      <c r="AX77" s="166"/>
      <c r="AY77" s="165"/>
      <c r="BC77" s="165"/>
      <c r="BD77" s="166"/>
      <c r="BE77" s="165"/>
    </row>
    <row r="78" spans="2:57" ht="15" customHeight="1" x14ac:dyDescent="0.25">
      <c r="E78" s="165"/>
      <c r="F78" s="166"/>
      <c r="G78" s="165"/>
      <c r="J78" s="165"/>
      <c r="K78" s="166"/>
      <c r="L78" s="165"/>
      <c r="M78" s="162">
        <v>1</v>
      </c>
      <c r="N78" s="162" t="s">
        <v>201</v>
      </c>
      <c r="O78" s="165" t="s">
        <v>717</v>
      </c>
      <c r="P78" s="166">
        <v>0.442</v>
      </c>
      <c r="Q78" s="165" t="s">
        <v>240</v>
      </c>
      <c r="T78" s="165"/>
      <c r="U78" s="166"/>
      <c r="V78" s="165"/>
      <c r="Y78" s="165"/>
      <c r="Z78" s="166"/>
      <c r="AA78" s="165"/>
      <c r="AE78" s="165"/>
      <c r="AF78" s="166"/>
      <c r="AG78" s="165"/>
      <c r="AK78" s="165"/>
      <c r="AL78" s="166"/>
      <c r="AM78" s="165"/>
      <c r="AP78" s="170" t="s">
        <v>201</v>
      </c>
      <c r="AQ78" s="165" t="s">
        <v>717</v>
      </c>
      <c r="AR78" s="166">
        <v>0.4</v>
      </c>
      <c r="AS78" s="165" t="s">
        <v>240</v>
      </c>
      <c r="AW78" s="165"/>
      <c r="AX78" s="166"/>
      <c r="AY78" s="165"/>
      <c r="BC78" s="165"/>
      <c r="BD78" s="166"/>
      <c r="BE78" s="165"/>
    </row>
    <row r="79" spans="2:57" ht="15" customHeight="1" x14ac:dyDescent="0.25">
      <c r="E79" s="165"/>
      <c r="F79" s="166"/>
      <c r="G79" s="165"/>
      <c r="J79" s="165"/>
      <c r="K79" s="166"/>
      <c r="L79" s="165"/>
      <c r="M79" s="162">
        <v>1</v>
      </c>
      <c r="N79" s="162" t="s">
        <v>198</v>
      </c>
      <c r="O79" s="165" t="s">
        <v>719</v>
      </c>
      <c r="P79" s="166">
        <v>2.1</v>
      </c>
      <c r="Q79" s="165" t="s">
        <v>71</v>
      </c>
      <c r="T79" s="165"/>
      <c r="U79" s="166"/>
      <c r="V79" s="165"/>
      <c r="Y79" s="165"/>
      <c r="Z79" s="166"/>
      <c r="AA79" s="165"/>
      <c r="AE79" s="165"/>
      <c r="AF79" s="166"/>
      <c r="AG79" s="165"/>
      <c r="AK79" s="165"/>
      <c r="AL79" s="166"/>
      <c r="AM79" s="165"/>
      <c r="AO79" s="162">
        <v>1</v>
      </c>
      <c r="AP79" s="171" t="s">
        <v>198</v>
      </c>
      <c r="AQ79" s="165" t="s">
        <v>719</v>
      </c>
      <c r="AR79" s="166">
        <v>2.1</v>
      </c>
      <c r="AS79" s="165" t="s">
        <v>71</v>
      </c>
      <c r="AW79" s="165"/>
      <c r="AX79" s="166"/>
      <c r="AY79" s="165"/>
      <c r="BC79" s="165"/>
      <c r="BD79" s="166"/>
      <c r="BE79" s="165"/>
    </row>
    <row r="80" spans="2:57" ht="15" customHeight="1" x14ac:dyDescent="0.25">
      <c r="E80" s="165"/>
      <c r="F80" s="166"/>
      <c r="G80" s="165"/>
      <c r="J80" s="165"/>
      <c r="K80" s="166"/>
      <c r="L80" s="165"/>
      <c r="M80" s="162">
        <v>1</v>
      </c>
      <c r="N80" s="162" t="s">
        <v>201</v>
      </c>
      <c r="O80" s="165" t="s">
        <v>717</v>
      </c>
      <c r="P80" s="166">
        <v>0.53100000000000003</v>
      </c>
      <c r="Q80" s="165" t="s">
        <v>235</v>
      </c>
      <c r="T80" s="165"/>
      <c r="U80" s="166"/>
      <c r="V80" s="165"/>
      <c r="Y80" s="165"/>
      <c r="Z80" s="166"/>
      <c r="AA80" s="165"/>
      <c r="AE80" s="165"/>
      <c r="AF80" s="166"/>
      <c r="AG80" s="165"/>
      <c r="AK80" s="165"/>
      <c r="AL80" s="166"/>
      <c r="AM80" s="165"/>
      <c r="AP80" s="170" t="s">
        <v>201</v>
      </c>
      <c r="AQ80" s="165" t="s">
        <v>717</v>
      </c>
      <c r="AR80" s="166">
        <v>0.5</v>
      </c>
      <c r="AS80" s="165" t="s">
        <v>235</v>
      </c>
      <c r="AW80" s="165"/>
      <c r="AX80" s="166"/>
      <c r="AY80" s="165"/>
      <c r="BC80" s="165"/>
      <c r="BD80" s="166"/>
      <c r="BE80" s="165"/>
    </row>
    <row r="81" spans="2:57" ht="15" customHeight="1" x14ac:dyDescent="0.25">
      <c r="E81" s="165"/>
      <c r="F81" s="166"/>
      <c r="G81" s="165"/>
      <c r="J81" s="165"/>
      <c r="K81" s="166"/>
      <c r="L81" s="165"/>
      <c r="M81" s="162">
        <v>1</v>
      </c>
      <c r="N81" s="162" t="s">
        <v>195</v>
      </c>
      <c r="O81" s="165" t="s">
        <v>659</v>
      </c>
      <c r="P81" s="166">
        <v>1.08</v>
      </c>
      <c r="Q81" s="165" t="s">
        <v>227</v>
      </c>
      <c r="T81" s="165"/>
      <c r="U81" s="166"/>
      <c r="V81" s="165"/>
      <c r="Y81" s="165"/>
      <c r="Z81" s="166"/>
      <c r="AA81" s="165"/>
      <c r="AE81" s="165"/>
      <c r="AF81" s="166"/>
      <c r="AG81" s="165"/>
      <c r="AK81" s="165"/>
      <c r="AL81" s="166"/>
      <c r="AM81" s="165"/>
      <c r="AO81" s="162">
        <v>1</v>
      </c>
      <c r="AP81" s="164" t="s">
        <v>195</v>
      </c>
      <c r="AQ81" s="165" t="s">
        <v>659</v>
      </c>
      <c r="AR81" s="166">
        <v>1.1000000000000001</v>
      </c>
      <c r="AS81" s="165" t="s">
        <v>227</v>
      </c>
      <c r="AW81" s="165"/>
      <c r="AX81" s="166"/>
      <c r="AY81" s="165"/>
      <c r="BC81" s="165"/>
      <c r="BD81" s="166"/>
      <c r="BE81" s="165"/>
    </row>
    <row r="82" spans="2:57" ht="15" customHeight="1" x14ac:dyDescent="0.25">
      <c r="E82" s="165"/>
      <c r="F82" s="166"/>
      <c r="G82" s="165"/>
      <c r="J82" s="165"/>
      <c r="K82" s="166"/>
      <c r="L82" s="165"/>
      <c r="M82" s="162">
        <v>1</v>
      </c>
      <c r="N82" s="162" t="s">
        <v>201</v>
      </c>
      <c r="O82" s="165" t="s">
        <v>717</v>
      </c>
      <c r="P82" s="166">
        <v>0.442</v>
      </c>
      <c r="Q82" s="165" t="s">
        <v>240</v>
      </c>
      <c r="T82" s="165"/>
      <c r="U82" s="166"/>
      <c r="V82" s="165"/>
      <c r="Y82" s="165"/>
      <c r="Z82" s="166"/>
      <c r="AA82" s="165"/>
      <c r="AE82" s="165"/>
      <c r="AF82" s="166"/>
      <c r="AG82" s="165"/>
      <c r="AK82" s="165"/>
      <c r="AL82" s="166"/>
      <c r="AM82" s="165"/>
      <c r="AP82" s="170" t="s">
        <v>201</v>
      </c>
      <c r="AQ82" s="165" t="s">
        <v>717</v>
      </c>
      <c r="AR82" s="166">
        <v>0.4</v>
      </c>
      <c r="AS82" s="165" t="s">
        <v>240</v>
      </c>
      <c r="AW82" s="165"/>
      <c r="AX82" s="166"/>
      <c r="AY82" s="165"/>
      <c r="BC82" s="165"/>
      <c r="BD82" s="166"/>
      <c r="BE82" s="165"/>
    </row>
    <row r="83" spans="2:57" ht="15" customHeight="1" x14ac:dyDescent="0.25">
      <c r="E83" s="165"/>
      <c r="F83" s="166"/>
      <c r="G83" s="165"/>
      <c r="J83" s="165"/>
      <c r="K83" s="166"/>
      <c r="L83" s="165"/>
      <c r="M83" s="162">
        <v>1</v>
      </c>
      <c r="N83" s="162" t="s">
        <v>241</v>
      </c>
      <c r="O83" s="165" t="s">
        <v>718</v>
      </c>
      <c r="P83" s="166">
        <v>0.22600000000000001</v>
      </c>
      <c r="Q83" s="165" t="s">
        <v>225</v>
      </c>
      <c r="T83" s="165"/>
      <c r="U83" s="166"/>
      <c r="V83" s="165"/>
      <c r="Y83" s="165"/>
      <c r="Z83" s="166"/>
      <c r="AA83" s="165"/>
      <c r="AE83" s="165"/>
      <c r="AF83" s="166"/>
      <c r="AG83" s="165"/>
      <c r="AK83" s="165"/>
      <c r="AL83" s="166"/>
      <c r="AM83" s="165"/>
      <c r="AO83" s="162">
        <v>1</v>
      </c>
      <c r="AP83" s="174" t="s">
        <v>241</v>
      </c>
      <c r="AQ83" s="165" t="s">
        <v>718</v>
      </c>
      <c r="AR83" s="166">
        <v>0.25</v>
      </c>
      <c r="AS83" s="165" t="s">
        <v>225</v>
      </c>
      <c r="AW83" s="165"/>
      <c r="AX83" s="166"/>
      <c r="AY83" s="165"/>
      <c r="BC83" s="165"/>
      <c r="BD83" s="166"/>
      <c r="BE83" s="165"/>
    </row>
    <row r="84" spans="2:57" ht="15" customHeight="1" x14ac:dyDescent="0.25">
      <c r="B84" s="167" t="s">
        <v>738</v>
      </c>
      <c r="C84" s="162">
        <v>1</v>
      </c>
      <c r="D84" s="162" t="s">
        <v>201</v>
      </c>
      <c r="E84" s="165" t="s">
        <v>717</v>
      </c>
      <c r="F84" s="166">
        <v>14.16</v>
      </c>
      <c r="G84" s="165" t="s">
        <v>739</v>
      </c>
      <c r="H84" s="162">
        <v>1</v>
      </c>
      <c r="I84" s="162" t="s">
        <v>201</v>
      </c>
      <c r="J84" s="165" t="s">
        <v>717</v>
      </c>
      <c r="K84" s="166">
        <v>4.42</v>
      </c>
      <c r="L84" s="165" t="s">
        <v>226</v>
      </c>
      <c r="M84" s="162">
        <v>1</v>
      </c>
      <c r="N84" s="162" t="s">
        <v>255</v>
      </c>
      <c r="O84" s="165" t="s">
        <v>223</v>
      </c>
      <c r="P84" s="166">
        <v>2</v>
      </c>
      <c r="Q84" s="165" t="s">
        <v>223</v>
      </c>
      <c r="R84" s="162">
        <v>1</v>
      </c>
      <c r="S84" s="162" t="s">
        <v>201</v>
      </c>
      <c r="T84" s="165" t="s">
        <v>717</v>
      </c>
      <c r="U84" s="166">
        <v>5.31</v>
      </c>
      <c r="V84" s="165" t="s">
        <v>112</v>
      </c>
      <c r="W84" s="162">
        <v>1</v>
      </c>
      <c r="X84" s="162" t="s">
        <v>206</v>
      </c>
      <c r="Y84" s="165" t="s">
        <v>223</v>
      </c>
      <c r="Z84" s="166" t="s">
        <v>740</v>
      </c>
      <c r="AA84" s="165" t="s">
        <v>223</v>
      </c>
      <c r="AC84" s="162">
        <v>1</v>
      </c>
      <c r="AD84" s="170" t="s">
        <v>201</v>
      </c>
      <c r="AE84" s="165" t="s">
        <v>717</v>
      </c>
      <c r="AF84" s="166">
        <v>14.2</v>
      </c>
      <c r="AG84" s="165" t="s">
        <v>739</v>
      </c>
      <c r="AI84" s="162">
        <v>1</v>
      </c>
      <c r="AJ84" s="170" t="s">
        <v>201</v>
      </c>
      <c r="AK84" s="165" t="s">
        <v>717</v>
      </c>
      <c r="AL84" s="166">
        <v>4.4000000000000004</v>
      </c>
      <c r="AM84" s="165" t="s">
        <v>226</v>
      </c>
      <c r="AO84" s="162">
        <v>1</v>
      </c>
      <c r="AP84" s="162" t="s">
        <v>255</v>
      </c>
      <c r="AQ84" s="165" t="s">
        <v>223</v>
      </c>
      <c r="AR84" s="166">
        <v>2</v>
      </c>
      <c r="AS84" s="165" t="s">
        <v>223</v>
      </c>
      <c r="AU84" s="162">
        <v>1</v>
      </c>
      <c r="AV84" s="170" t="s">
        <v>201</v>
      </c>
      <c r="AW84" s="165" t="s">
        <v>717</v>
      </c>
      <c r="AX84" s="166">
        <v>5.3</v>
      </c>
      <c r="AY84" s="165" t="s">
        <v>112</v>
      </c>
      <c r="BA84" s="162">
        <v>1</v>
      </c>
      <c r="BB84" s="162" t="s">
        <v>206</v>
      </c>
      <c r="BC84" s="165" t="s">
        <v>223</v>
      </c>
      <c r="BD84" s="166" t="s">
        <v>740</v>
      </c>
      <c r="BE84" s="165" t="s">
        <v>223</v>
      </c>
    </row>
    <row r="85" spans="2:57" ht="15" customHeight="1" x14ac:dyDescent="0.25">
      <c r="E85" s="165"/>
      <c r="F85" s="166"/>
      <c r="G85" s="165"/>
      <c r="J85" s="165"/>
      <c r="K85" s="166"/>
      <c r="L85" s="165"/>
      <c r="M85" s="162">
        <v>1</v>
      </c>
      <c r="N85" s="162" t="s">
        <v>202</v>
      </c>
      <c r="O85" s="165" t="s">
        <v>661</v>
      </c>
      <c r="P85" s="166">
        <v>8</v>
      </c>
      <c r="Q85" s="165" t="s">
        <v>223</v>
      </c>
      <c r="T85" s="165"/>
      <c r="U85" s="166"/>
      <c r="V85" s="165"/>
      <c r="Y85" s="165"/>
      <c r="Z85" s="166"/>
      <c r="AA85" s="165"/>
      <c r="AE85" s="165"/>
      <c r="AF85" s="166"/>
      <c r="AG85" s="165"/>
      <c r="AK85" s="165"/>
      <c r="AL85" s="166"/>
      <c r="AM85" s="165"/>
      <c r="AO85" s="162">
        <v>1</v>
      </c>
      <c r="AP85" s="175" t="s">
        <v>202</v>
      </c>
      <c r="AQ85" s="165" t="s">
        <v>661</v>
      </c>
      <c r="AR85" s="166">
        <v>8</v>
      </c>
      <c r="AS85" s="165" t="s">
        <v>223</v>
      </c>
      <c r="AW85" s="165"/>
      <c r="AX85" s="166"/>
      <c r="AY85" s="165"/>
      <c r="BC85" s="165"/>
      <c r="BD85" s="166"/>
      <c r="BE85" s="165"/>
    </row>
    <row r="86" spans="2:57" ht="15" customHeight="1" x14ac:dyDescent="0.25">
      <c r="E86" s="165"/>
      <c r="F86" s="166"/>
      <c r="G86" s="165"/>
      <c r="J86" s="165"/>
      <c r="K86" s="166"/>
      <c r="L86" s="165"/>
      <c r="M86" s="162">
        <v>1</v>
      </c>
      <c r="N86" s="162" t="s">
        <v>741</v>
      </c>
      <c r="O86" s="165" t="s">
        <v>223</v>
      </c>
      <c r="P86" s="166">
        <v>2</v>
      </c>
      <c r="Q86" s="165" t="s">
        <v>223</v>
      </c>
      <c r="T86" s="165"/>
      <c r="U86" s="166"/>
      <c r="V86" s="165"/>
      <c r="Y86" s="165"/>
      <c r="Z86" s="166"/>
      <c r="AA86" s="165"/>
      <c r="AE86" s="165"/>
      <c r="AF86" s="166"/>
      <c r="AG86" s="165"/>
      <c r="AK86" s="165"/>
      <c r="AL86" s="166"/>
      <c r="AM86" s="165"/>
      <c r="AO86" s="162">
        <v>1</v>
      </c>
      <c r="AP86" s="173" t="s">
        <v>201</v>
      </c>
      <c r="AQ86" s="165" t="s">
        <v>223</v>
      </c>
      <c r="AR86" s="166">
        <v>2</v>
      </c>
      <c r="AS86" s="165" t="s">
        <v>223</v>
      </c>
      <c r="AW86" s="165"/>
      <c r="AX86" s="166"/>
      <c r="AY86" s="165"/>
      <c r="BC86" s="165"/>
      <c r="BD86" s="166"/>
      <c r="BE86" s="165"/>
    </row>
    <row r="87" spans="2:57" ht="15" customHeight="1" x14ac:dyDescent="0.25">
      <c r="B87" s="167" t="s">
        <v>742</v>
      </c>
      <c r="C87" s="162">
        <v>1</v>
      </c>
      <c r="D87" s="162" t="s">
        <v>201</v>
      </c>
      <c r="E87" s="165" t="s">
        <v>717</v>
      </c>
      <c r="F87" s="166">
        <v>7.96</v>
      </c>
      <c r="G87" s="165" t="s">
        <v>252</v>
      </c>
      <c r="H87" s="162">
        <v>1</v>
      </c>
      <c r="I87" s="162" t="s">
        <v>201</v>
      </c>
      <c r="J87" s="165" t="s">
        <v>223</v>
      </c>
      <c r="K87" s="166">
        <v>6.5</v>
      </c>
      <c r="L87" s="165" t="s">
        <v>223</v>
      </c>
      <c r="M87" s="162">
        <v>1</v>
      </c>
      <c r="N87" s="162" t="s">
        <v>255</v>
      </c>
      <c r="O87" s="165" t="s">
        <v>223</v>
      </c>
      <c r="P87" s="166" t="s">
        <v>223</v>
      </c>
      <c r="Q87" s="165" t="s">
        <v>234</v>
      </c>
      <c r="R87" s="162">
        <v>1</v>
      </c>
      <c r="S87" s="162" t="s">
        <v>201</v>
      </c>
      <c r="T87" s="165" t="s">
        <v>717</v>
      </c>
      <c r="U87" s="166">
        <v>10.62</v>
      </c>
      <c r="V87" s="165" t="s">
        <v>597</v>
      </c>
      <c r="W87" s="162">
        <v>1</v>
      </c>
      <c r="X87" s="162" t="s">
        <v>206</v>
      </c>
      <c r="Y87" s="165" t="s">
        <v>223</v>
      </c>
      <c r="Z87" s="166">
        <v>16</v>
      </c>
      <c r="AA87" s="165" t="s">
        <v>223</v>
      </c>
      <c r="AC87" s="162">
        <v>1</v>
      </c>
      <c r="AD87" s="170" t="s">
        <v>201</v>
      </c>
      <c r="AE87" s="165" t="s">
        <v>717</v>
      </c>
      <c r="AF87" s="166">
        <v>8</v>
      </c>
      <c r="AG87" s="165" t="s">
        <v>252</v>
      </c>
      <c r="AI87" s="162">
        <v>1</v>
      </c>
      <c r="AJ87" s="170" t="s">
        <v>201</v>
      </c>
      <c r="AK87" s="165" t="s">
        <v>717</v>
      </c>
      <c r="AL87" s="166">
        <v>6.5</v>
      </c>
      <c r="AM87" s="165" t="s">
        <v>223</v>
      </c>
      <c r="AO87" s="162">
        <v>1</v>
      </c>
      <c r="AP87" s="162" t="s">
        <v>255</v>
      </c>
      <c r="AQ87" s="165" t="s">
        <v>223</v>
      </c>
      <c r="AR87" s="166" t="s">
        <v>223</v>
      </c>
      <c r="AS87" s="165" t="s">
        <v>234</v>
      </c>
      <c r="AU87" s="162">
        <v>1</v>
      </c>
      <c r="AV87" s="170" t="s">
        <v>201</v>
      </c>
      <c r="AW87" s="165" t="s">
        <v>717</v>
      </c>
      <c r="AX87" s="166">
        <v>10.6</v>
      </c>
      <c r="AY87" s="165" t="s">
        <v>597</v>
      </c>
      <c r="BA87" s="162">
        <v>1</v>
      </c>
      <c r="BB87" s="162" t="s">
        <v>206</v>
      </c>
      <c r="BC87" s="165" t="s">
        <v>223</v>
      </c>
      <c r="BD87" s="166">
        <v>16</v>
      </c>
      <c r="BE87" s="165" t="s">
        <v>223</v>
      </c>
    </row>
    <row r="88" spans="2:57" ht="15" customHeight="1" x14ac:dyDescent="0.25">
      <c r="E88" s="165"/>
      <c r="F88" s="166"/>
      <c r="G88" s="165"/>
      <c r="J88" s="165"/>
      <c r="K88" s="166"/>
      <c r="L88" s="165"/>
      <c r="M88" s="162">
        <v>1</v>
      </c>
      <c r="N88" s="162" t="s">
        <v>241</v>
      </c>
      <c r="O88" s="165" t="s">
        <v>718</v>
      </c>
      <c r="P88" s="166">
        <v>0.22600000000000001</v>
      </c>
      <c r="Q88" s="165" t="s">
        <v>225</v>
      </c>
      <c r="T88" s="165"/>
      <c r="U88" s="166"/>
      <c r="V88" s="165"/>
      <c r="Y88" s="165"/>
      <c r="Z88" s="166"/>
      <c r="AA88" s="165"/>
      <c r="AE88" s="165"/>
      <c r="AF88" s="166"/>
      <c r="AG88" s="165"/>
      <c r="AK88" s="165"/>
      <c r="AL88" s="166"/>
      <c r="AM88" s="165"/>
      <c r="AO88" s="162">
        <v>1</v>
      </c>
      <c r="AP88" s="174" t="s">
        <v>241</v>
      </c>
      <c r="AQ88" s="165" t="s">
        <v>718</v>
      </c>
      <c r="AR88" s="166">
        <v>0.25</v>
      </c>
      <c r="AS88" s="165" t="s">
        <v>225</v>
      </c>
      <c r="AW88" s="165"/>
      <c r="AX88" s="166"/>
      <c r="AY88" s="165"/>
      <c r="BC88" s="165"/>
      <c r="BD88" s="166"/>
      <c r="BE88" s="165"/>
    </row>
    <row r="89" spans="2:57" ht="15" customHeight="1" x14ac:dyDescent="0.25">
      <c r="E89" s="165"/>
      <c r="F89" s="166"/>
      <c r="G89" s="165"/>
      <c r="J89" s="165"/>
      <c r="K89" s="166"/>
      <c r="L89" s="165"/>
      <c r="M89" s="162">
        <v>1</v>
      </c>
      <c r="N89" s="162" t="s">
        <v>201</v>
      </c>
      <c r="O89" s="165" t="s">
        <v>717</v>
      </c>
      <c r="P89" s="166">
        <v>8.7999999999999995E-2</v>
      </c>
      <c r="Q89" s="165" t="s">
        <v>230</v>
      </c>
      <c r="T89" s="165"/>
      <c r="U89" s="166"/>
      <c r="V89" s="165"/>
      <c r="Y89" s="165"/>
      <c r="Z89" s="166"/>
      <c r="AA89" s="165"/>
      <c r="AE89" s="165"/>
      <c r="AF89" s="166"/>
      <c r="AG89" s="165"/>
      <c r="AK89" s="165"/>
      <c r="AL89" s="166"/>
      <c r="AM89" s="165"/>
      <c r="AP89" s="170" t="s">
        <v>201</v>
      </c>
      <c r="AQ89" s="165" t="s">
        <v>717</v>
      </c>
      <c r="AR89" s="166">
        <v>0.1</v>
      </c>
      <c r="AS89" s="165" t="s">
        <v>230</v>
      </c>
      <c r="AW89" s="165"/>
      <c r="AX89" s="166"/>
      <c r="AY89" s="165"/>
      <c r="BC89" s="165"/>
      <c r="BD89" s="166"/>
      <c r="BE89" s="165"/>
    </row>
    <row r="90" spans="2:57" ht="15" customHeight="1" x14ac:dyDescent="0.25">
      <c r="E90" s="165"/>
      <c r="F90" s="166"/>
      <c r="G90" s="165"/>
      <c r="J90" s="165"/>
      <c r="K90" s="166"/>
      <c r="L90" s="165"/>
      <c r="M90" s="162">
        <v>1</v>
      </c>
      <c r="N90" s="162" t="s">
        <v>195</v>
      </c>
      <c r="O90" s="165" t="s">
        <v>659</v>
      </c>
      <c r="P90" s="166">
        <v>0.65</v>
      </c>
      <c r="Q90" s="165" t="s">
        <v>235</v>
      </c>
      <c r="T90" s="165"/>
      <c r="U90" s="166"/>
      <c r="V90" s="165"/>
      <c r="Y90" s="165"/>
      <c r="Z90" s="166"/>
      <c r="AA90" s="165"/>
      <c r="AE90" s="165"/>
      <c r="AF90" s="166"/>
      <c r="AG90" s="165"/>
      <c r="AK90" s="165"/>
      <c r="AL90" s="166"/>
      <c r="AM90" s="165"/>
      <c r="AO90" s="162">
        <v>1</v>
      </c>
      <c r="AP90" s="164" t="s">
        <v>195</v>
      </c>
      <c r="AQ90" s="165" t="s">
        <v>659</v>
      </c>
      <c r="AR90" s="166">
        <v>0.7</v>
      </c>
      <c r="AS90" s="165" t="s">
        <v>235</v>
      </c>
      <c r="AW90" s="165"/>
      <c r="AX90" s="166"/>
      <c r="AY90" s="165"/>
      <c r="BC90" s="165"/>
      <c r="BD90" s="166"/>
      <c r="BE90" s="165"/>
    </row>
    <row r="91" spans="2:57" ht="15" customHeight="1" x14ac:dyDescent="0.25">
      <c r="E91" s="165"/>
      <c r="F91" s="166"/>
      <c r="G91" s="165"/>
      <c r="J91" s="165"/>
      <c r="K91" s="166"/>
      <c r="L91" s="165"/>
      <c r="M91" s="162">
        <v>1</v>
      </c>
      <c r="N91" s="162" t="s">
        <v>201</v>
      </c>
      <c r="O91" s="165" t="s">
        <v>717</v>
      </c>
      <c r="P91" s="166">
        <v>0.26500000000000001</v>
      </c>
      <c r="Q91" s="165" t="s">
        <v>236</v>
      </c>
      <c r="T91" s="165"/>
      <c r="U91" s="166"/>
      <c r="V91" s="165"/>
      <c r="Y91" s="165"/>
      <c r="Z91" s="166"/>
      <c r="AA91" s="165"/>
      <c r="AE91" s="165"/>
      <c r="AF91" s="166"/>
      <c r="AG91" s="165"/>
      <c r="AK91" s="165"/>
      <c r="AL91" s="166"/>
      <c r="AM91" s="165"/>
      <c r="AP91" s="170" t="s">
        <v>201</v>
      </c>
      <c r="AQ91" s="165" t="s">
        <v>717</v>
      </c>
      <c r="AR91" s="166">
        <v>0.25</v>
      </c>
      <c r="AS91" s="165" t="s">
        <v>236</v>
      </c>
      <c r="AW91" s="165"/>
      <c r="AX91" s="166"/>
      <c r="AY91" s="165"/>
      <c r="BC91" s="165"/>
      <c r="BD91" s="166"/>
      <c r="BE91" s="165"/>
    </row>
    <row r="92" spans="2:57" ht="15" customHeight="1" x14ac:dyDescent="0.25">
      <c r="E92" s="165"/>
      <c r="F92" s="166"/>
      <c r="G92" s="165"/>
      <c r="J92" s="165"/>
      <c r="K92" s="166"/>
      <c r="L92" s="165"/>
      <c r="M92" s="162">
        <v>1</v>
      </c>
      <c r="N92" s="162" t="s">
        <v>198</v>
      </c>
      <c r="O92" s="165" t="s">
        <v>719</v>
      </c>
      <c r="P92" s="166">
        <v>1.05</v>
      </c>
      <c r="Q92" s="165" t="s">
        <v>227</v>
      </c>
      <c r="T92" s="165"/>
      <c r="U92" s="166"/>
      <c r="V92" s="165"/>
      <c r="Y92" s="165"/>
      <c r="Z92" s="166"/>
      <c r="AA92" s="165"/>
      <c r="AE92" s="165"/>
      <c r="AF92" s="166"/>
      <c r="AG92" s="165"/>
      <c r="AK92" s="165"/>
      <c r="AL92" s="166"/>
      <c r="AM92" s="165"/>
      <c r="AO92" s="162">
        <v>1</v>
      </c>
      <c r="AP92" s="171" t="s">
        <v>198</v>
      </c>
      <c r="AQ92" s="165" t="s">
        <v>719</v>
      </c>
      <c r="AR92" s="166">
        <v>1.1000000000000001</v>
      </c>
      <c r="AS92" s="165" t="s">
        <v>227</v>
      </c>
      <c r="AW92" s="165"/>
      <c r="AX92" s="166"/>
      <c r="AY92" s="165"/>
      <c r="BC92" s="165"/>
      <c r="BD92" s="166"/>
      <c r="BE92" s="165"/>
    </row>
    <row r="93" spans="2:57" ht="15" customHeight="1" x14ac:dyDescent="0.25">
      <c r="E93" s="165"/>
      <c r="F93" s="166"/>
      <c r="G93" s="165"/>
      <c r="J93" s="165"/>
      <c r="K93" s="166"/>
      <c r="L93" s="165"/>
      <c r="M93" s="162">
        <v>1</v>
      </c>
      <c r="N93" s="162" t="s">
        <v>201</v>
      </c>
      <c r="O93" s="165" t="s">
        <v>717</v>
      </c>
      <c r="P93" s="166">
        <v>0.442</v>
      </c>
      <c r="Q93" s="165" t="s">
        <v>240</v>
      </c>
      <c r="T93" s="165"/>
      <c r="U93" s="166"/>
      <c r="V93" s="165"/>
      <c r="Y93" s="165"/>
      <c r="Z93" s="166"/>
      <c r="AA93" s="165"/>
      <c r="AE93" s="165"/>
      <c r="AF93" s="166"/>
      <c r="AG93" s="165"/>
      <c r="AK93" s="165"/>
      <c r="AL93" s="166"/>
      <c r="AM93" s="165"/>
      <c r="AP93" s="170" t="s">
        <v>201</v>
      </c>
      <c r="AQ93" s="165" t="s">
        <v>717</v>
      </c>
      <c r="AR93" s="166">
        <v>1.6</v>
      </c>
      <c r="AS93" s="165" t="s">
        <v>237</v>
      </c>
      <c r="AW93" s="165"/>
      <c r="AX93" s="166"/>
      <c r="AY93" s="165"/>
      <c r="BC93" s="165"/>
      <c r="BD93" s="166"/>
      <c r="BE93" s="165"/>
    </row>
    <row r="94" spans="2:57" ht="15" customHeight="1" x14ac:dyDescent="0.25">
      <c r="E94" s="165"/>
      <c r="F94" s="166"/>
      <c r="G94" s="165"/>
      <c r="J94" s="165"/>
      <c r="K94" s="166"/>
      <c r="L94" s="165"/>
      <c r="M94" s="162">
        <v>1</v>
      </c>
      <c r="N94" s="162" t="s">
        <v>201</v>
      </c>
      <c r="O94" s="165" t="s">
        <v>717</v>
      </c>
      <c r="P94" s="166">
        <v>1.24</v>
      </c>
      <c r="Q94" s="165" t="s">
        <v>244</v>
      </c>
      <c r="T94" s="165"/>
      <c r="U94" s="166"/>
      <c r="V94" s="165"/>
      <c r="Y94" s="165"/>
      <c r="Z94" s="166"/>
      <c r="AA94" s="165"/>
      <c r="AE94" s="165"/>
      <c r="AF94" s="166"/>
      <c r="AG94" s="165"/>
      <c r="AK94" s="165"/>
      <c r="AL94" s="166"/>
      <c r="AM94" s="165"/>
      <c r="AQ94" s="165"/>
      <c r="AR94" s="166"/>
      <c r="AS94" s="165"/>
      <c r="AW94" s="165"/>
      <c r="AX94" s="166"/>
      <c r="AY94" s="165"/>
      <c r="BC94" s="165"/>
      <c r="BD94" s="166"/>
      <c r="BE94" s="165"/>
    </row>
    <row r="95" spans="2:57" ht="15" customHeight="1" x14ac:dyDescent="0.25">
      <c r="B95" s="167" t="s">
        <v>743</v>
      </c>
      <c r="C95" s="162">
        <v>1</v>
      </c>
      <c r="D95" s="162" t="s">
        <v>201</v>
      </c>
      <c r="E95" s="165" t="s">
        <v>223</v>
      </c>
      <c r="F95" s="166">
        <v>5</v>
      </c>
      <c r="G95" s="165" t="s">
        <v>223</v>
      </c>
      <c r="H95" s="162">
        <v>1</v>
      </c>
      <c r="I95" s="162" t="s">
        <v>201</v>
      </c>
      <c r="J95" s="165" t="s">
        <v>717</v>
      </c>
      <c r="K95" s="166">
        <v>4.42</v>
      </c>
      <c r="L95" s="165" t="s">
        <v>226</v>
      </c>
      <c r="M95" s="162">
        <v>1</v>
      </c>
      <c r="N95" s="162" t="s">
        <v>255</v>
      </c>
      <c r="O95" s="165" t="s">
        <v>223</v>
      </c>
      <c r="P95" s="166" t="s">
        <v>223</v>
      </c>
      <c r="Q95" s="165" t="s">
        <v>227</v>
      </c>
      <c r="R95" s="162">
        <v>1</v>
      </c>
      <c r="S95" s="162" t="s">
        <v>201</v>
      </c>
      <c r="T95" s="165" t="s">
        <v>223</v>
      </c>
      <c r="U95" s="166">
        <v>1.6</v>
      </c>
      <c r="V95" s="165" t="s">
        <v>223</v>
      </c>
      <c r="W95" s="162">
        <v>1</v>
      </c>
      <c r="X95" s="162" t="s">
        <v>744</v>
      </c>
      <c r="Y95" s="165" t="s">
        <v>223</v>
      </c>
      <c r="Z95" s="166">
        <v>42.2</v>
      </c>
      <c r="AA95" s="165" t="s">
        <v>223</v>
      </c>
      <c r="AC95" s="162">
        <v>1</v>
      </c>
      <c r="AD95" s="170" t="s">
        <v>201</v>
      </c>
      <c r="AE95" s="165" t="s">
        <v>717</v>
      </c>
      <c r="AF95" s="166">
        <v>5</v>
      </c>
      <c r="AG95" s="165" t="s">
        <v>223</v>
      </c>
      <c r="AI95" s="162">
        <v>1</v>
      </c>
      <c r="AJ95" s="170" t="s">
        <v>201</v>
      </c>
      <c r="AK95" s="165" t="s">
        <v>717</v>
      </c>
      <c r="AL95" s="166">
        <v>4.4000000000000004</v>
      </c>
      <c r="AM95" s="165" t="s">
        <v>226</v>
      </c>
      <c r="AO95" s="162">
        <v>1</v>
      </c>
      <c r="AP95" s="162" t="s">
        <v>255</v>
      </c>
      <c r="AQ95" s="165" t="s">
        <v>223</v>
      </c>
      <c r="AR95" s="166" t="s">
        <v>223</v>
      </c>
      <c r="AS95" s="165" t="s">
        <v>227</v>
      </c>
      <c r="AU95" s="162">
        <v>1</v>
      </c>
      <c r="AV95" s="170" t="s">
        <v>201</v>
      </c>
      <c r="AW95" s="165" t="s">
        <v>717</v>
      </c>
      <c r="AX95" s="166">
        <v>1.6</v>
      </c>
      <c r="AY95" s="165" t="s">
        <v>223</v>
      </c>
      <c r="BA95" s="162">
        <v>1</v>
      </c>
      <c r="BB95" s="162" t="s">
        <v>744</v>
      </c>
      <c r="BC95" s="165" t="s">
        <v>223</v>
      </c>
      <c r="BD95" s="166">
        <v>42.2</v>
      </c>
      <c r="BE95" s="165" t="s">
        <v>223</v>
      </c>
    </row>
    <row r="96" spans="2:57" ht="15" customHeight="1" x14ac:dyDescent="0.25">
      <c r="E96" s="165"/>
      <c r="F96" s="166"/>
      <c r="G96" s="165"/>
      <c r="J96" s="165"/>
      <c r="K96" s="166"/>
      <c r="L96" s="165"/>
      <c r="M96" s="162">
        <v>1</v>
      </c>
      <c r="N96" s="162" t="s">
        <v>201</v>
      </c>
      <c r="O96" s="165" t="s">
        <v>717</v>
      </c>
      <c r="P96" s="166">
        <v>0.88500000000000001</v>
      </c>
      <c r="Q96" s="165" t="s">
        <v>227</v>
      </c>
      <c r="T96" s="165"/>
      <c r="U96" s="166"/>
      <c r="V96" s="165"/>
      <c r="Y96" s="165"/>
      <c r="Z96" s="166"/>
      <c r="AA96" s="165"/>
      <c r="AE96" s="165"/>
      <c r="AF96" s="166"/>
      <c r="AG96" s="165"/>
      <c r="AK96" s="165"/>
      <c r="AL96" s="166"/>
      <c r="AM96" s="165"/>
      <c r="AO96" s="162">
        <v>1</v>
      </c>
      <c r="AP96" s="170" t="s">
        <v>201</v>
      </c>
      <c r="AQ96" s="165" t="s">
        <v>717</v>
      </c>
      <c r="AR96" s="166">
        <v>0.9</v>
      </c>
      <c r="AS96" s="165" t="s">
        <v>227</v>
      </c>
      <c r="AW96" s="165"/>
      <c r="AX96" s="166"/>
      <c r="AY96" s="165"/>
      <c r="BC96" s="165"/>
      <c r="BD96" s="166"/>
      <c r="BE96" s="165"/>
    </row>
    <row r="97" spans="5:57" ht="15" customHeight="1" x14ac:dyDescent="0.25">
      <c r="E97" s="165"/>
      <c r="F97" s="166"/>
      <c r="G97" s="165"/>
      <c r="J97" s="165"/>
      <c r="K97" s="166"/>
      <c r="L97" s="165"/>
      <c r="M97" s="162">
        <v>1</v>
      </c>
      <c r="N97" s="162" t="s">
        <v>198</v>
      </c>
      <c r="O97" s="165" t="s">
        <v>719</v>
      </c>
      <c r="P97" s="166">
        <v>0.83899999999999997</v>
      </c>
      <c r="Q97" s="165" t="s">
        <v>256</v>
      </c>
      <c r="T97" s="165"/>
      <c r="U97" s="166"/>
      <c r="V97" s="165"/>
      <c r="Y97" s="165"/>
      <c r="Z97" s="166"/>
      <c r="AA97" s="165"/>
      <c r="AE97" s="165"/>
      <c r="AF97" s="166"/>
      <c r="AG97" s="165"/>
      <c r="AK97" s="165"/>
      <c r="AL97" s="166"/>
      <c r="AM97" s="165"/>
      <c r="AO97" s="162">
        <v>1</v>
      </c>
      <c r="AP97" s="171" t="s">
        <v>198</v>
      </c>
      <c r="AQ97" s="165" t="s">
        <v>719</v>
      </c>
      <c r="AR97" s="166">
        <v>0.8</v>
      </c>
      <c r="AS97" s="165" t="s">
        <v>256</v>
      </c>
      <c r="AW97" s="165"/>
      <c r="AX97" s="166"/>
      <c r="AY97" s="165"/>
      <c r="BC97" s="165"/>
      <c r="BD97" s="166"/>
      <c r="BE97" s="165"/>
    </row>
    <row r="98" spans="5:57" ht="15" customHeight="1" x14ac:dyDescent="0.25">
      <c r="E98" s="165"/>
      <c r="F98" s="166"/>
      <c r="G98" s="165"/>
      <c r="J98" s="165"/>
      <c r="K98" s="166"/>
      <c r="L98" s="165"/>
      <c r="M98" s="162">
        <v>1</v>
      </c>
      <c r="N98" s="162" t="s">
        <v>195</v>
      </c>
      <c r="O98" s="165" t="s">
        <v>659</v>
      </c>
      <c r="P98" s="166">
        <v>0.65</v>
      </c>
      <c r="Q98" s="165" t="s">
        <v>235</v>
      </c>
      <c r="T98" s="165"/>
      <c r="U98" s="166"/>
      <c r="V98" s="165"/>
      <c r="Y98" s="165"/>
      <c r="Z98" s="166"/>
      <c r="AA98" s="165"/>
      <c r="AE98" s="165"/>
      <c r="AF98" s="166"/>
      <c r="AG98" s="165"/>
      <c r="AK98" s="165"/>
      <c r="AL98" s="166"/>
      <c r="AM98" s="165"/>
      <c r="AO98" s="162">
        <v>1</v>
      </c>
      <c r="AP98" s="164" t="s">
        <v>195</v>
      </c>
      <c r="AQ98" s="165" t="s">
        <v>659</v>
      </c>
      <c r="AR98" s="166">
        <v>0.7</v>
      </c>
      <c r="AS98" s="165" t="s">
        <v>235</v>
      </c>
      <c r="AW98" s="165"/>
      <c r="AX98" s="166"/>
      <c r="AY98" s="165"/>
      <c r="BC98" s="165"/>
      <c r="BD98" s="166"/>
      <c r="BE98" s="165"/>
    </row>
    <row r="99" spans="5:57" ht="15" customHeight="1" x14ac:dyDescent="0.25">
      <c r="E99" s="165"/>
      <c r="F99" s="166"/>
      <c r="G99" s="165"/>
      <c r="J99" s="165"/>
      <c r="K99" s="166"/>
      <c r="L99" s="165"/>
      <c r="M99" s="162">
        <v>1</v>
      </c>
      <c r="N99" s="162" t="s">
        <v>241</v>
      </c>
      <c r="O99" s="165" t="s">
        <v>718</v>
      </c>
      <c r="P99" s="166">
        <v>0.45300000000000001</v>
      </c>
      <c r="Q99" s="165" t="s">
        <v>228</v>
      </c>
      <c r="T99" s="165"/>
      <c r="U99" s="166"/>
      <c r="V99" s="165"/>
      <c r="Y99" s="165"/>
      <c r="Z99" s="166"/>
      <c r="AA99" s="165"/>
      <c r="AE99" s="165"/>
      <c r="AF99" s="166"/>
      <c r="AG99" s="165"/>
      <c r="AK99" s="165"/>
      <c r="AL99" s="166"/>
      <c r="AM99" s="165"/>
      <c r="AO99" s="162">
        <v>1</v>
      </c>
      <c r="AP99" s="174" t="s">
        <v>241</v>
      </c>
      <c r="AQ99" s="165" t="s">
        <v>718</v>
      </c>
      <c r="AR99" s="166">
        <v>0.5</v>
      </c>
      <c r="AS99" s="165" t="s">
        <v>228</v>
      </c>
      <c r="AW99" s="165"/>
      <c r="AX99" s="166"/>
      <c r="AY99" s="165"/>
      <c r="BC99" s="165"/>
      <c r="BD99" s="166"/>
      <c r="BE99" s="165"/>
    </row>
    <row r="100" spans="5:57" ht="15" customHeight="1" x14ac:dyDescent="0.25">
      <c r="E100" s="165"/>
      <c r="F100" s="166"/>
      <c r="G100" s="165"/>
      <c r="J100" s="165"/>
      <c r="K100" s="166"/>
      <c r="L100" s="165"/>
      <c r="M100" s="162">
        <v>1</v>
      </c>
      <c r="N100" s="162" t="s">
        <v>203</v>
      </c>
      <c r="O100" s="165" t="s">
        <v>715</v>
      </c>
      <c r="P100" s="166">
        <v>0.23699999999999999</v>
      </c>
      <c r="Q100" s="165" t="s">
        <v>225</v>
      </c>
      <c r="T100" s="165"/>
      <c r="U100" s="166"/>
      <c r="V100" s="165"/>
      <c r="Y100" s="165"/>
      <c r="Z100" s="166"/>
      <c r="AA100" s="165"/>
      <c r="AE100" s="165"/>
      <c r="AF100" s="166"/>
      <c r="AG100" s="165"/>
      <c r="AK100" s="165"/>
      <c r="AL100" s="166"/>
      <c r="AM100" s="165"/>
      <c r="AO100" s="162">
        <v>1</v>
      </c>
      <c r="AP100" s="172" t="s">
        <v>203</v>
      </c>
      <c r="AQ100" s="165" t="s">
        <v>715</v>
      </c>
      <c r="AR100" s="166">
        <v>0.25</v>
      </c>
      <c r="AS100" s="165" t="s">
        <v>225</v>
      </c>
      <c r="AW100" s="165"/>
      <c r="AX100" s="166"/>
      <c r="AY100" s="165"/>
      <c r="BC100" s="165"/>
      <c r="BD100" s="166"/>
      <c r="BE100" s="165"/>
    </row>
    <row r="101" spans="5:57" ht="15" customHeight="1" x14ac:dyDescent="0.25">
      <c r="E101" s="165"/>
      <c r="F101" s="166"/>
      <c r="G101" s="165"/>
      <c r="J101" s="165"/>
      <c r="K101" s="166"/>
      <c r="L101" s="165"/>
      <c r="O101" s="165"/>
      <c r="P101" s="166"/>
      <c r="Q101" s="165"/>
      <c r="T101" s="165"/>
      <c r="U101" s="166"/>
      <c r="V101" s="165"/>
      <c r="Y101" s="165"/>
      <c r="Z101" s="166"/>
      <c r="AA101" s="165"/>
      <c r="AE101" s="165"/>
      <c r="AF101" s="166"/>
      <c r="AG101" s="165"/>
      <c r="AK101" s="165"/>
      <c r="AL101" s="166"/>
      <c r="AM101" s="165"/>
      <c r="AQ101" s="165"/>
      <c r="AR101" s="166"/>
      <c r="AS101" s="165"/>
      <c r="AW101" s="165"/>
      <c r="AX101" s="166"/>
      <c r="AY101" s="165"/>
      <c r="BC101" s="165"/>
      <c r="BD101" s="166"/>
      <c r="BE101" s="165"/>
    </row>
    <row r="102" spans="5:57" ht="15" customHeight="1" x14ac:dyDescent="0.25">
      <c r="E102" s="165"/>
      <c r="F102" s="166"/>
      <c r="G102" s="165"/>
      <c r="J102" s="165"/>
      <c r="K102" s="166"/>
      <c r="L102" s="165"/>
      <c r="O102" s="165"/>
      <c r="P102" s="166"/>
      <c r="Q102" s="165"/>
      <c r="T102" s="165"/>
      <c r="U102" s="166"/>
      <c r="V102" s="165"/>
      <c r="Y102" s="165"/>
      <c r="Z102" s="166"/>
      <c r="AA102" s="165"/>
      <c r="AE102" s="165"/>
      <c r="AF102" s="166"/>
      <c r="AG102" s="165"/>
      <c r="AK102" s="165"/>
      <c r="AL102" s="166"/>
      <c r="AM102" s="165"/>
      <c r="AQ102" s="165"/>
      <c r="AR102" s="166"/>
      <c r="AS102" s="165"/>
      <c r="AW102" s="165"/>
      <c r="AX102" s="166"/>
      <c r="AY102" s="165"/>
      <c r="BC102" s="165"/>
      <c r="BD102" s="166"/>
      <c r="BE102" s="165"/>
    </row>
    <row r="103" spans="5:57" ht="15" customHeight="1" x14ac:dyDescent="0.25">
      <c r="E103" s="165"/>
      <c r="F103" s="166"/>
      <c r="G103" s="165"/>
      <c r="J103" s="165"/>
      <c r="K103" s="166"/>
      <c r="L103" s="165"/>
      <c r="O103" s="165"/>
      <c r="P103" s="166"/>
      <c r="Q103" s="165"/>
      <c r="T103" s="165"/>
      <c r="U103" s="166"/>
      <c r="V103" s="165"/>
      <c r="Y103" s="165"/>
      <c r="Z103" s="166"/>
      <c r="AA103" s="165"/>
      <c r="AE103" s="165"/>
      <c r="AF103" s="166"/>
      <c r="AG103" s="165"/>
      <c r="AK103" s="165"/>
      <c r="AL103" s="166"/>
      <c r="AM103" s="165"/>
      <c r="AQ103" s="165"/>
      <c r="AR103" s="166"/>
      <c r="AS103" s="165"/>
      <c r="AW103" s="165"/>
      <c r="AX103" s="166"/>
      <c r="AY103" s="165"/>
      <c r="BC103" s="165"/>
      <c r="BD103" s="166"/>
      <c r="BE103" s="165"/>
    </row>
    <row r="104" spans="5:57" ht="15" customHeight="1" x14ac:dyDescent="0.25">
      <c r="E104" s="165"/>
      <c r="F104" s="166"/>
      <c r="G104" s="165"/>
      <c r="J104" s="165"/>
      <c r="K104" s="166"/>
      <c r="L104" s="165"/>
      <c r="O104" s="165"/>
      <c r="P104" s="166"/>
      <c r="Q104" s="165"/>
      <c r="T104" s="165"/>
      <c r="U104" s="166"/>
      <c r="V104" s="165"/>
      <c r="Y104" s="165"/>
      <c r="Z104" s="166"/>
      <c r="AA104" s="165"/>
      <c r="AE104" s="165"/>
      <c r="AF104" s="166"/>
      <c r="AG104" s="165"/>
      <c r="AK104" s="165"/>
      <c r="AL104" s="166"/>
      <c r="AM104" s="165"/>
      <c r="AQ104" s="165"/>
      <c r="AR104" s="166"/>
      <c r="AS104" s="165"/>
      <c r="AW104" s="165"/>
      <c r="AX104" s="166"/>
      <c r="AY104" s="165"/>
      <c r="BC104" s="165"/>
      <c r="BD104" s="166"/>
      <c r="BE104" s="165"/>
    </row>
    <row r="105" spans="5:57" ht="15" customHeight="1" x14ac:dyDescent="0.25">
      <c r="E105" s="165"/>
      <c r="F105" s="166"/>
      <c r="G105" s="165"/>
      <c r="J105" s="165"/>
      <c r="K105" s="166"/>
      <c r="L105" s="165"/>
      <c r="O105" s="165"/>
      <c r="P105" s="166"/>
      <c r="Q105" s="165"/>
      <c r="T105" s="165"/>
      <c r="U105" s="166"/>
      <c r="V105" s="165"/>
      <c r="Y105" s="165"/>
      <c r="Z105" s="166"/>
      <c r="AA105" s="165"/>
      <c r="AE105" s="165"/>
      <c r="AF105" s="166"/>
      <c r="AG105" s="165"/>
      <c r="AK105" s="165"/>
      <c r="AL105" s="166"/>
      <c r="AM105" s="165"/>
      <c r="AQ105" s="165"/>
      <c r="AR105" s="166"/>
      <c r="AS105" s="165"/>
      <c r="AW105" s="165"/>
      <c r="AX105" s="166"/>
      <c r="AY105" s="165"/>
      <c r="BC105" s="165"/>
      <c r="BD105" s="166"/>
      <c r="BE105" s="165"/>
    </row>
    <row r="106" spans="5:57" ht="15" customHeight="1" x14ac:dyDescent="0.25">
      <c r="E106" s="165"/>
      <c r="F106" s="166"/>
      <c r="G106" s="165"/>
      <c r="J106" s="165"/>
      <c r="K106" s="166"/>
      <c r="L106" s="165"/>
      <c r="O106" s="165"/>
      <c r="P106" s="166"/>
      <c r="Q106" s="165"/>
      <c r="T106" s="165"/>
      <c r="U106" s="166"/>
      <c r="V106" s="165"/>
      <c r="Y106" s="165"/>
      <c r="Z106" s="166"/>
      <c r="AA106" s="165"/>
      <c r="AE106" s="165"/>
      <c r="AF106" s="166"/>
      <c r="AG106" s="165"/>
      <c r="AK106" s="165"/>
      <c r="AL106" s="166"/>
      <c r="AM106" s="165"/>
      <c r="AQ106" s="165"/>
      <c r="AR106" s="166"/>
      <c r="AS106" s="165"/>
      <c r="AW106" s="165"/>
      <c r="AX106" s="166"/>
      <c r="AY106" s="165"/>
      <c r="BC106" s="165"/>
      <c r="BD106" s="166"/>
      <c r="BE106" s="165"/>
    </row>
    <row r="107" spans="5:57" ht="15" customHeight="1" x14ac:dyDescent="0.25">
      <c r="E107" s="165"/>
      <c r="F107" s="166"/>
      <c r="G107" s="165"/>
      <c r="J107" s="165"/>
      <c r="K107" s="166"/>
      <c r="L107" s="165"/>
      <c r="O107" s="165"/>
      <c r="P107" s="166"/>
      <c r="Q107" s="165"/>
      <c r="T107" s="165"/>
      <c r="U107" s="166"/>
      <c r="V107" s="165"/>
      <c r="Y107" s="165"/>
      <c r="Z107" s="166"/>
      <c r="AA107" s="165"/>
      <c r="AE107" s="165"/>
      <c r="AF107" s="166"/>
      <c r="AG107" s="165"/>
      <c r="AK107" s="165"/>
      <c r="AL107" s="166"/>
      <c r="AM107" s="165"/>
      <c r="AQ107" s="165"/>
      <c r="AR107" s="166"/>
      <c r="AS107" s="165"/>
      <c r="AW107" s="165"/>
      <c r="AX107" s="166"/>
      <c r="AY107" s="165"/>
      <c r="BC107" s="165"/>
      <c r="BD107" s="166"/>
      <c r="BE107" s="165"/>
    </row>
    <row r="108" spans="5:57" ht="15" customHeight="1" x14ac:dyDescent="0.25">
      <c r="E108" s="165"/>
      <c r="F108" s="166"/>
      <c r="G108" s="165"/>
      <c r="J108" s="165"/>
      <c r="K108" s="166"/>
      <c r="L108" s="165"/>
      <c r="O108" s="165"/>
      <c r="P108" s="166"/>
      <c r="Q108" s="165"/>
      <c r="T108" s="165"/>
      <c r="U108" s="166"/>
      <c r="V108" s="165"/>
      <c r="Y108" s="165"/>
      <c r="Z108" s="166"/>
      <c r="AA108" s="165"/>
      <c r="AE108" s="165"/>
      <c r="AF108" s="166"/>
      <c r="AG108" s="165"/>
      <c r="AK108" s="165"/>
      <c r="AL108" s="166"/>
      <c r="AM108" s="165"/>
      <c r="AQ108" s="165"/>
      <c r="AR108" s="166"/>
      <c r="AS108" s="165"/>
      <c r="AW108" s="165"/>
      <c r="AX108" s="166"/>
      <c r="AY108" s="165"/>
      <c r="BC108" s="165"/>
      <c r="BD108" s="166"/>
      <c r="BE108" s="165"/>
    </row>
    <row r="109" spans="5:57" ht="15" customHeight="1" x14ac:dyDescent="0.25">
      <c r="E109" s="165"/>
      <c r="F109" s="166"/>
      <c r="G109" s="165"/>
      <c r="J109" s="165"/>
      <c r="K109" s="166"/>
      <c r="L109" s="165"/>
      <c r="O109" s="165"/>
      <c r="P109" s="166"/>
      <c r="Q109" s="165"/>
      <c r="T109" s="165"/>
      <c r="U109" s="166"/>
      <c r="V109" s="165"/>
      <c r="Y109" s="165"/>
      <c r="Z109" s="166"/>
      <c r="AA109" s="165"/>
      <c r="AE109" s="165"/>
      <c r="AF109" s="166"/>
      <c r="AG109" s="165"/>
      <c r="AK109" s="165"/>
      <c r="AL109" s="166"/>
      <c r="AM109" s="165"/>
      <c r="AQ109" s="165"/>
      <c r="AR109" s="166"/>
      <c r="AS109" s="165"/>
      <c r="AW109" s="165"/>
      <c r="AX109" s="166"/>
      <c r="AY109" s="165"/>
      <c r="BC109" s="165"/>
      <c r="BD109" s="166"/>
      <c r="BE109" s="165"/>
    </row>
    <row r="110" spans="5:57" ht="15" customHeight="1" x14ac:dyDescent="0.25">
      <c r="E110" s="165"/>
      <c r="F110" s="166"/>
      <c r="G110" s="165"/>
      <c r="J110" s="165"/>
      <c r="K110" s="166"/>
      <c r="L110" s="165"/>
      <c r="O110" s="165"/>
      <c r="P110" s="166"/>
      <c r="Q110" s="165"/>
      <c r="T110" s="165"/>
      <c r="U110" s="166"/>
      <c r="V110" s="165"/>
      <c r="Y110" s="165"/>
      <c r="Z110" s="166"/>
      <c r="AA110" s="165"/>
      <c r="AE110" s="165"/>
      <c r="AF110" s="166"/>
      <c r="AG110" s="165"/>
      <c r="AK110" s="165"/>
      <c r="AL110" s="166"/>
      <c r="AM110" s="165"/>
      <c r="AQ110" s="165"/>
      <c r="AR110" s="166"/>
      <c r="AS110" s="165"/>
      <c r="AW110" s="165"/>
      <c r="AX110" s="166"/>
      <c r="AY110" s="165"/>
      <c r="BC110" s="165"/>
      <c r="BD110" s="166"/>
      <c r="BE110" s="165"/>
    </row>
    <row r="111" spans="5:57" ht="15" customHeight="1" x14ac:dyDescent="0.25">
      <c r="E111" s="165"/>
      <c r="F111" s="166"/>
      <c r="G111" s="165"/>
      <c r="J111" s="165"/>
      <c r="K111" s="166"/>
      <c r="L111" s="165"/>
      <c r="O111" s="165"/>
      <c r="P111" s="166"/>
      <c r="Q111" s="165"/>
      <c r="T111" s="165"/>
      <c r="U111" s="166"/>
      <c r="V111" s="165"/>
      <c r="Y111" s="165"/>
      <c r="Z111" s="166"/>
      <c r="AA111" s="165"/>
      <c r="AE111" s="165"/>
      <c r="AF111" s="166"/>
      <c r="AG111" s="165"/>
      <c r="AK111" s="165"/>
      <c r="AL111" s="166"/>
      <c r="AM111" s="165"/>
      <c r="AQ111" s="165"/>
      <c r="AR111" s="166"/>
      <c r="AS111" s="165"/>
      <c r="AW111" s="165"/>
      <c r="AX111" s="166"/>
      <c r="AY111" s="165"/>
      <c r="BC111" s="165"/>
      <c r="BD111" s="166"/>
      <c r="BE111" s="165"/>
    </row>
    <row r="112" spans="5:57" ht="15" customHeight="1" x14ac:dyDescent="0.25">
      <c r="E112" s="165"/>
      <c r="F112" s="166"/>
      <c r="G112" s="165"/>
      <c r="J112" s="165"/>
      <c r="K112" s="166"/>
      <c r="L112" s="165"/>
      <c r="O112" s="165"/>
      <c r="P112" s="166"/>
      <c r="Q112" s="165"/>
      <c r="T112" s="165"/>
      <c r="U112" s="166"/>
      <c r="V112" s="165"/>
      <c r="Y112" s="165"/>
      <c r="Z112" s="166"/>
      <c r="AA112" s="165"/>
      <c r="AE112" s="165"/>
      <c r="AF112" s="166"/>
      <c r="AG112" s="165"/>
      <c r="AK112" s="165"/>
      <c r="AL112" s="166"/>
      <c r="AM112" s="165"/>
      <c r="AQ112" s="165"/>
      <c r="AR112" s="166"/>
      <c r="AS112" s="165"/>
      <c r="AW112" s="165"/>
      <c r="AX112" s="166"/>
      <c r="AY112" s="165"/>
      <c r="BC112" s="165"/>
      <c r="BD112" s="166"/>
      <c r="BE112" s="165"/>
    </row>
    <row r="113" spans="5:57" ht="15" customHeight="1" x14ac:dyDescent="0.25">
      <c r="E113" s="165"/>
      <c r="F113" s="166"/>
      <c r="G113" s="165"/>
      <c r="J113" s="165"/>
      <c r="K113" s="166"/>
      <c r="L113" s="165"/>
      <c r="O113" s="165"/>
      <c r="P113" s="166"/>
      <c r="Q113" s="165"/>
      <c r="T113" s="165"/>
      <c r="U113" s="166"/>
      <c r="V113" s="165"/>
      <c r="Y113" s="165"/>
      <c r="Z113" s="166"/>
      <c r="AA113" s="165"/>
      <c r="AE113" s="165"/>
      <c r="AF113" s="166"/>
      <c r="AG113" s="165"/>
      <c r="AK113" s="165"/>
      <c r="AL113" s="166"/>
      <c r="AM113" s="165"/>
      <c r="AQ113" s="165"/>
      <c r="AR113" s="166"/>
      <c r="AS113" s="165"/>
      <c r="AW113" s="165"/>
      <c r="AX113" s="166"/>
      <c r="AY113" s="165"/>
      <c r="BC113" s="165"/>
      <c r="BD113" s="166"/>
      <c r="BE113" s="165"/>
    </row>
    <row r="114" spans="5:57" ht="15" customHeight="1" x14ac:dyDescent="0.25">
      <c r="E114" s="165"/>
      <c r="F114" s="166"/>
      <c r="G114" s="165"/>
      <c r="J114" s="165"/>
      <c r="K114" s="166"/>
      <c r="L114" s="165"/>
      <c r="O114" s="165"/>
      <c r="P114" s="166"/>
      <c r="Q114" s="165"/>
      <c r="T114" s="165"/>
      <c r="U114" s="166"/>
      <c r="V114" s="165"/>
      <c r="Y114" s="165"/>
      <c r="Z114" s="166"/>
      <c r="AA114" s="165"/>
      <c r="AE114" s="165"/>
      <c r="AF114" s="166"/>
      <c r="AG114" s="165"/>
      <c r="AK114" s="165"/>
      <c r="AL114" s="166"/>
      <c r="AM114" s="165"/>
      <c r="AQ114" s="165"/>
      <c r="AR114" s="166"/>
      <c r="AS114" s="165"/>
      <c r="AW114" s="165"/>
      <c r="AX114" s="166"/>
      <c r="AY114" s="165"/>
      <c r="BC114" s="165"/>
      <c r="BD114" s="166"/>
      <c r="BE114" s="165"/>
    </row>
    <row r="115" spans="5:57" ht="15" customHeight="1" x14ac:dyDescent="0.25">
      <c r="E115" s="165"/>
      <c r="F115" s="166"/>
      <c r="G115" s="165"/>
      <c r="J115" s="165"/>
      <c r="K115" s="166"/>
      <c r="L115" s="165"/>
      <c r="O115" s="165"/>
      <c r="P115" s="166"/>
      <c r="Q115" s="165"/>
      <c r="T115" s="165"/>
      <c r="U115" s="166"/>
      <c r="V115" s="165"/>
      <c r="Y115" s="165"/>
      <c r="Z115" s="166"/>
      <c r="AA115" s="165"/>
      <c r="AE115" s="165"/>
      <c r="AF115" s="166"/>
      <c r="AG115" s="165"/>
      <c r="AK115" s="165"/>
      <c r="AL115" s="166"/>
      <c r="AM115" s="165"/>
      <c r="AQ115" s="165"/>
      <c r="AR115" s="166"/>
      <c r="AS115" s="165"/>
      <c r="AW115" s="165"/>
      <c r="AX115" s="166"/>
      <c r="AY115" s="165"/>
      <c r="BC115" s="165"/>
      <c r="BD115" s="166"/>
      <c r="BE115" s="165"/>
    </row>
    <row r="116" spans="5:57" ht="15" customHeight="1" x14ac:dyDescent="0.25">
      <c r="E116" s="165"/>
      <c r="F116" s="166"/>
      <c r="G116" s="165"/>
      <c r="J116" s="165"/>
      <c r="K116" s="166"/>
      <c r="L116" s="165"/>
      <c r="O116" s="165"/>
      <c r="P116" s="166"/>
      <c r="Q116" s="165"/>
      <c r="T116" s="165"/>
      <c r="U116" s="166"/>
      <c r="V116" s="165"/>
      <c r="Y116" s="165"/>
      <c r="Z116" s="166"/>
      <c r="AA116" s="165"/>
      <c r="AE116" s="165"/>
      <c r="AF116" s="166"/>
      <c r="AG116" s="165"/>
      <c r="AK116" s="165"/>
      <c r="AL116" s="166"/>
      <c r="AM116" s="165"/>
      <c r="AQ116" s="165"/>
      <c r="AR116" s="166"/>
      <c r="AS116" s="165"/>
      <c r="AW116" s="165"/>
      <c r="AX116" s="166"/>
      <c r="AY116" s="165"/>
      <c r="BC116" s="165"/>
      <c r="BD116" s="166"/>
      <c r="BE116" s="165"/>
    </row>
    <row r="117" spans="5:57" ht="15" customHeight="1" x14ac:dyDescent="0.25">
      <c r="E117" s="165"/>
      <c r="F117" s="166"/>
      <c r="G117" s="165"/>
      <c r="J117" s="165"/>
      <c r="K117" s="166"/>
      <c r="L117" s="165"/>
      <c r="O117" s="165"/>
      <c r="P117" s="166"/>
      <c r="Q117" s="165"/>
      <c r="T117" s="165"/>
      <c r="U117" s="166"/>
      <c r="V117" s="165"/>
      <c r="Y117" s="165"/>
      <c r="Z117" s="166"/>
      <c r="AA117" s="165"/>
      <c r="AE117" s="165"/>
      <c r="AF117" s="166"/>
      <c r="AG117" s="165"/>
      <c r="AK117" s="165"/>
      <c r="AL117" s="166"/>
      <c r="AM117" s="165"/>
      <c r="AQ117" s="165"/>
      <c r="AR117" s="166"/>
      <c r="AS117" s="165"/>
      <c r="AW117" s="165"/>
      <c r="AX117" s="166"/>
      <c r="AY117" s="165"/>
      <c r="BC117" s="165"/>
      <c r="BD117" s="166"/>
      <c r="BE117" s="165"/>
    </row>
    <row r="118" spans="5:57" ht="15" customHeight="1" x14ac:dyDescent="0.25">
      <c r="E118" s="165"/>
      <c r="F118" s="166"/>
      <c r="G118" s="165"/>
      <c r="J118" s="165"/>
      <c r="K118" s="166"/>
      <c r="L118" s="165"/>
      <c r="O118" s="165"/>
      <c r="P118" s="166"/>
      <c r="Q118" s="165"/>
      <c r="T118" s="165"/>
      <c r="U118" s="166"/>
      <c r="V118" s="165"/>
      <c r="Y118" s="165"/>
      <c r="Z118" s="166"/>
      <c r="AA118" s="165"/>
      <c r="AE118" s="165"/>
      <c r="AF118" s="166"/>
      <c r="AG118" s="165"/>
      <c r="AK118" s="165"/>
      <c r="AL118" s="166"/>
      <c r="AM118" s="165"/>
      <c r="AQ118" s="165"/>
      <c r="AR118" s="166"/>
      <c r="AS118" s="165"/>
      <c r="AW118" s="165"/>
      <c r="AX118" s="166"/>
      <c r="AY118" s="165"/>
      <c r="BC118" s="165"/>
      <c r="BD118" s="166"/>
      <c r="BE118" s="165"/>
    </row>
    <row r="119" spans="5:57" ht="15" customHeight="1" x14ac:dyDescent="0.25">
      <c r="E119" s="165"/>
      <c r="F119" s="166"/>
      <c r="G119" s="165"/>
      <c r="J119" s="165"/>
      <c r="K119" s="166"/>
      <c r="L119" s="165"/>
      <c r="O119" s="165"/>
      <c r="P119" s="166"/>
      <c r="Q119" s="165"/>
      <c r="T119" s="165"/>
      <c r="U119" s="166"/>
      <c r="V119" s="165"/>
      <c r="Y119" s="165"/>
      <c r="Z119" s="166"/>
      <c r="AA119" s="165"/>
      <c r="AE119" s="165"/>
      <c r="AF119" s="166"/>
      <c r="AG119" s="165"/>
      <c r="AK119" s="165"/>
      <c r="AL119" s="166"/>
      <c r="AM119" s="165"/>
      <c r="AQ119" s="165"/>
      <c r="AR119" s="166"/>
      <c r="AS119" s="165"/>
      <c r="AW119" s="165"/>
      <c r="AX119" s="166"/>
      <c r="AY119" s="165"/>
      <c r="BC119" s="165"/>
      <c r="BD119" s="166"/>
      <c r="BE119" s="165"/>
    </row>
    <row r="120" spans="5:57" ht="15" customHeight="1" x14ac:dyDescent="0.25">
      <c r="E120" s="165"/>
      <c r="F120" s="166"/>
      <c r="G120" s="165"/>
      <c r="J120" s="165"/>
      <c r="K120" s="166"/>
      <c r="L120" s="165"/>
      <c r="O120" s="165"/>
      <c r="P120" s="166"/>
      <c r="Q120" s="165"/>
      <c r="T120" s="165"/>
      <c r="U120" s="166"/>
      <c r="V120" s="165"/>
      <c r="Y120" s="165"/>
      <c r="Z120" s="166"/>
      <c r="AA120" s="165"/>
      <c r="AE120" s="165"/>
      <c r="AF120" s="166"/>
      <c r="AG120" s="165"/>
      <c r="AK120" s="165"/>
      <c r="AL120" s="166"/>
      <c r="AM120" s="165"/>
      <c r="AQ120" s="165"/>
      <c r="AR120" s="166"/>
      <c r="AS120" s="165"/>
      <c r="AW120" s="165"/>
      <c r="AX120" s="166"/>
      <c r="AY120" s="165"/>
      <c r="BC120" s="165"/>
      <c r="BD120" s="166"/>
      <c r="BE120" s="165"/>
    </row>
    <row r="121" spans="5:57" ht="15" customHeight="1" x14ac:dyDescent="0.25">
      <c r="E121" s="165"/>
      <c r="F121" s="166"/>
      <c r="G121" s="165"/>
      <c r="J121" s="165"/>
      <c r="K121" s="166"/>
      <c r="L121" s="165"/>
      <c r="O121" s="165"/>
      <c r="P121" s="166"/>
      <c r="Q121" s="165"/>
      <c r="T121" s="165"/>
      <c r="U121" s="166"/>
      <c r="V121" s="165"/>
      <c r="Y121" s="165"/>
      <c r="Z121" s="166"/>
      <c r="AA121" s="165"/>
      <c r="AE121" s="165"/>
      <c r="AF121" s="166"/>
      <c r="AG121" s="165"/>
      <c r="AK121" s="165"/>
      <c r="AL121" s="166"/>
      <c r="AM121" s="165"/>
      <c r="AQ121" s="165"/>
      <c r="AR121" s="166"/>
      <c r="AS121" s="165"/>
      <c r="AW121" s="165"/>
      <c r="AX121" s="166"/>
      <c r="AY121" s="165"/>
      <c r="BC121" s="165"/>
      <c r="BD121" s="166"/>
      <c r="BE121" s="165"/>
    </row>
    <row r="122" spans="5:57" ht="15" customHeight="1" x14ac:dyDescent="0.25">
      <c r="E122" s="165"/>
      <c r="F122" s="166"/>
      <c r="G122" s="165"/>
      <c r="J122" s="165"/>
      <c r="K122" s="166"/>
      <c r="L122" s="165"/>
      <c r="O122" s="165"/>
      <c r="P122" s="166"/>
      <c r="Q122" s="165"/>
      <c r="T122" s="165"/>
      <c r="U122" s="166"/>
      <c r="V122" s="165"/>
      <c r="Y122" s="165"/>
      <c r="Z122" s="166"/>
      <c r="AA122" s="165"/>
      <c r="AE122" s="165"/>
      <c r="AF122" s="166"/>
      <c r="AG122" s="165"/>
      <c r="AK122" s="165"/>
      <c r="AL122" s="166"/>
      <c r="AM122" s="165"/>
      <c r="AQ122" s="165"/>
      <c r="AR122" s="166"/>
      <c r="AS122" s="165"/>
      <c r="AW122" s="165"/>
      <c r="AX122" s="166"/>
      <c r="AY122" s="165"/>
      <c r="BC122" s="165"/>
      <c r="BD122" s="166"/>
      <c r="BE122" s="165"/>
    </row>
    <row r="123" spans="5:57" ht="15" customHeight="1" x14ac:dyDescent="0.25">
      <c r="E123" s="165"/>
      <c r="F123" s="166"/>
      <c r="G123" s="165"/>
      <c r="J123" s="165"/>
      <c r="K123" s="166"/>
      <c r="L123" s="165"/>
      <c r="O123" s="165"/>
      <c r="P123" s="166"/>
      <c r="Q123" s="165"/>
      <c r="T123" s="165"/>
      <c r="U123" s="166"/>
      <c r="V123" s="165"/>
      <c r="Y123" s="165"/>
      <c r="Z123" s="166"/>
      <c r="AA123" s="165"/>
      <c r="AE123" s="165"/>
      <c r="AF123" s="166"/>
      <c r="AG123" s="165"/>
      <c r="AK123" s="165"/>
      <c r="AL123" s="166"/>
      <c r="AM123" s="165"/>
      <c r="AQ123" s="165"/>
      <c r="AR123" s="166"/>
      <c r="AS123" s="165"/>
      <c r="AW123" s="165"/>
      <c r="AX123" s="166"/>
      <c r="AY123" s="165"/>
      <c r="BC123" s="165"/>
      <c r="BD123" s="166"/>
      <c r="BE123" s="165"/>
    </row>
    <row r="124" spans="5:57" ht="15" customHeight="1" x14ac:dyDescent="0.25">
      <c r="E124" s="165"/>
      <c r="F124" s="166"/>
      <c r="G124" s="165"/>
      <c r="J124" s="165"/>
      <c r="K124" s="166"/>
      <c r="L124" s="165"/>
      <c r="O124" s="165"/>
      <c r="P124" s="166"/>
      <c r="Q124" s="165"/>
      <c r="T124" s="165"/>
      <c r="U124" s="166"/>
      <c r="V124" s="165"/>
      <c r="Y124" s="165"/>
      <c r="Z124" s="166"/>
      <c r="AA124" s="165"/>
      <c r="AE124" s="165"/>
      <c r="AF124" s="166"/>
      <c r="AG124" s="165"/>
      <c r="AK124" s="165"/>
      <c r="AL124" s="166"/>
      <c r="AM124" s="165"/>
      <c r="AQ124" s="165"/>
      <c r="AR124" s="166"/>
      <c r="AS124" s="165"/>
      <c r="AW124" s="165"/>
      <c r="AX124" s="166"/>
      <c r="AY124" s="165"/>
      <c r="BC124" s="165"/>
      <c r="BD124" s="166"/>
      <c r="BE124" s="165"/>
    </row>
    <row r="125" spans="5:57" ht="15" customHeight="1" x14ac:dyDescent="0.25">
      <c r="E125" s="165"/>
      <c r="F125" s="166"/>
      <c r="G125" s="165"/>
      <c r="J125" s="165"/>
      <c r="K125" s="166"/>
      <c r="L125" s="165"/>
      <c r="O125" s="165"/>
      <c r="P125" s="166"/>
      <c r="Q125" s="165"/>
      <c r="T125" s="165"/>
      <c r="U125" s="166"/>
      <c r="V125" s="165"/>
      <c r="Y125" s="165"/>
      <c r="Z125" s="166"/>
      <c r="AA125" s="165"/>
      <c r="AE125" s="165"/>
      <c r="AF125" s="166"/>
      <c r="AG125" s="165"/>
      <c r="AK125" s="165"/>
      <c r="AL125" s="166"/>
      <c r="AM125" s="165"/>
      <c r="AQ125" s="165"/>
      <c r="AR125" s="166"/>
      <c r="AS125" s="165"/>
      <c r="AW125" s="165"/>
      <c r="AX125" s="166"/>
      <c r="AY125" s="165"/>
      <c r="BC125" s="165"/>
      <c r="BD125" s="166"/>
      <c r="BE125" s="165"/>
    </row>
    <row r="126" spans="5:57" ht="15" customHeight="1" x14ac:dyDescent="0.25">
      <c r="E126" s="165"/>
      <c r="F126" s="166"/>
      <c r="G126" s="165"/>
      <c r="J126" s="165"/>
      <c r="K126" s="166"/>
      <c r="L126" s="165"/>
      <c r="O126" s="165"/>
      <c r="P126" s="166"/>
      <c r="Q126" s="165"/>
      <c r="T126" s="165"/>
      <c r="U126" s="166"/>
      <c r="V126" s="165"/>
      <c r="Y126" s="165"/>
      <c r="Z126" s="166"/>
      <c r="AA126" s="165"/>
      <c r="AE126" s="165"/>
      <c r="AF126" s="166"/>
      <c r="AG126" s="165"/>
      <c r="AK126" s="165"/>
      <c r="AL126" s="166"/>
      <c r="AM126" s="165"/>
      <c r="AQ126" s="165"/>
      <c r="AR126" s="166"/>
      <c r="AS126" s="165"/>
      <c r="AW126" s="165"/>
      <c r="AX126" s="166"/>
      <c r="AY126" s="165"/>
      <c r="BC126" s="165"/>
      <c r="BD126" s="166"/>
      <c r="BE126" s="165"/>
    </row>
    <row r="127" spans="5:57" ht="15" customHeight="1" x14ac:dyDescent="0.25">
      <c r="E127" s="165"/>
      <c r="F127" s="166"/>
      <c r="G127" s="165"/>
      <c r="J127" s="165"/>
      <c r="K127" s="166"/>
      <c r="L127" s="165"/>
      <c r="O127" s="165"/>
      <c r="P127" s="166"/>
      <c r="Q127" s="165"/>
      <c r="T127" s="165"/>
      <c r="U127" s="166"/>
      <c r="V127" s="165"/>
      <c r="Y127" s="165"/>
      <c r="Z127" s="166"/>
      <c r="AA127" s="165"/>
      <c r="AE127" s="165"/>
      <c r="AF127" s="166"/>
      <c r="AG127" s="165"/>
      <c r="AK127" s="165"/>
      <c r="AL127" s="166"/>
      <c r="AM127" s="165"/>
      <c r="AQ127" s="165"/>
      <c r="AR127" s="166"/>
      <c r="AS127" s="165"/>
      <c r="AW127" s="165"/>
      <c r="AX127" s="166"/>
      <c r="AY127" s="165"/>
      <c r="BC127" s="165"/>
      <c r="BD127" s="166"/>
      <c r="BE127" s="165"/>
    </row>
    <row r="128" spans="5:57" ht="15" customHeight="1" x14ac:dyDescent="0.25">
      <c r="E128" s="165"/>
      <c r="F128" s="166"/>
      <c r="G128" s="165"/>
      <c r="J128" s="165"/>
      <c r="K128" s="166"/>
      <c r="L128" s="165"/>
      <c r="O128" s="165"/>
      <c r="P128" s="166"/>
      <c r="Q128" s="165"/>
      <c r="T128" s="165"/>
      <c r="U128" s="166"/>
      <c r="V128" s="165"/>
      <c r="Y128" s="165"/>
      <c r="Z128" s="166"/>
      <c r="AA128" s="165"/>
      <c r="AE128" s="165"/>
      <c r="AF128" s="166"/>
      <c r="AG128" s="165"/>
      <c r="AK128" s="165"/>
      <c r="AL128" s="166"/>
      <c r="AM128" s="165"/>
      <c r="AQ128" s="165"/>
      <c r="AR128" s="166"/>
      <c r="AS128" s="165"/>
      <c r="AW128" s="165"/>
      <c r="AX128" s="166"/>
      <c r="AY128" s="165"/>
      <c r="BC128" s="165"/>
      <c r="BD128" s="166"/>
      <c r="BE128" s="165"/>
    </row>
    <row r="129" spans="5:57" ht="15" customHeight="1" x14ac:dyDescent="0.25">
      <c r="E129" s="165"/>
      <c r="F129" s="166"/>
      <c r="G129" s="165"/>
      <c r="J129" s="165"/>
      <c r="K129" s="166"/>
      <c r="L129" s="165"/>
      <c r="O129" s="165"/>
      <c r="P129" s="166"/>
      <c r="Q129" s="165"/>
      <c r="T129" s="165"/>
      <c r="U129" s="166"/>
      <c r="V129" s="165"/>
      <c r="Y129" s="165"/>
      <c r="Z129" s="166"/>
      <c r="AA129" s="165"/>
      <c r="AE129" s="165"/>
      <c r="AF129" s="166"/>
      <c r="AG129" s="165"/>
      <c r="AK129" s="165"/>
      <c r="AL129" s="166"/>
      <c r="AM129" s="165"/>
      <c r="AQ129" s="165"/>
      <c r="AR129" s="166"/>
      <c r="AS129" s="165"/>
      <c r="AW129" s="165"/>
      <c r="AX129" s="166"/>
      <c r="AY129" s="165"/>
      <c r="BC129" s="165"/>
      <c r="BD129" s="166"/>
      <c r="BE129" s="165"/>
    </row>
    <row r="130" spans="5:57" ht="15" customHeight="1" x14ac:dyDescent="0.25">
      <c r="E130" s="165"/>
      <c r="F130" s="166"/>
      <c r="G130" s="165"/>
      <c r="J130" s="165"/>
      <c r="K130" s="166"/>
      <c r="L130" s="165"/>
      <c r="O130" s="165"/>
      <c r="P130" s="166"/>
      <c r="Q130" s="165"/>
      <c r="T130" s="165"/>
      <c r="U130" s="166"/>
      <c r="V130" s="165"/>
      <c r="Y130" s="165"/>
      <c r="Z130" s="166"/>
      <c r="AA130" s="165"/>
      <c r="AE130" s="165"/>
      <c r="AF130" s="166"/>
      <c r="AG130" s="165"/>
      <c r="AK130" s="165"/>
      <c r="AL130" s="166"/>
      <c r="AM130" s="165"/>
      <c r="AQ130" s="165"/>
      <c r="AR130" s="166"/>
      <c r="AS130" s="165"/>
      <c r="AW130" s="165"/>
      <c r="AX130" s="166"/>
      <c r="AY130" s="165"/>
      <c r="BC130" s="165"/>
      <c r="BD130" s="166"/>
      <c r="BE130" s="165"/>
    </row>
    <row r="131" spans="5:57" ht="15" customHeight="1" x14ac:dyDescent="0.25">
      <c r="E131" s="165"/>
      <c r="F131" s="166"/>
      <c r="G131" s="165"/>
      <c r="J131" s="165"/>
      <c r="K131" s="166"/>
      <c r="L131" s="165"/>
      <c r="O131" s="165"/>
      <c r="P131" s="166"/>
      <c r="Q131" s="165"/>
      <c r="T131" s="165"/>
      <c r="U131" s="166"/>
      <c r="V131" s="165"/>
      <c r="Y131" s="165"/>
      <c r="Z131" s="166"/>
      <c r="AA131" s="165"/>
      <c r="AE131" s="165"/>
      <c r="AF131" s="166"/>
      <c r="AG131" s="165"/>
      <c r="AK131" s="165"/>
      <c r="AL131" s="166"/>
      <c r="AM131" s="165"/>
      <c r="AQ131" s="165"/>
      <c r="AR131" s="166"/>
      <c r="AS131" s="165"/>
      <c r="AW131" s="165"/>
      <c r="AX131" s="166"/>
      <c r="AY131" s="165"/>
      <c r="BC131" s="165"/>
      <c r="BD131" s="166"/>
      <c r="BE131" s="165"/>
    </row>
    <row r="132" spans="5:57" ht="15" customHeight="1" x14ac:dyDescent="0.25">
      <c r="E132" s="165"/>
      <c r="F132" s="166"/>
      <c r="G132" s="165"/>
      <c r="J132" s="165"/>
      <c r="K132" s="166"/>
      <c r="L132" s="165"/>
      <c r="O132" s="165"/>
      <c r="P132" s="166"/>
      <c r="Q132" s="165"/>
      <c r="T132" s="165"/>
      <c r="U132" s="166"/>
      <c r="V132" s="165"/>
      <c r="Y132" s="165"/>
      <c r="Z132" s="166"/>
      <c r="AA132" s="165"/>
      <c r="AE132" s="165"/>
      <c r="AF132" s="166"/>
      <c r="AG132" s="165"/>
      <c r="AK132" s="165"/>
      <c r="AL132" s="166"/>
      <c r="AM132" s="165"/>
      <c r="AQ132" s="165"/>
      <c r="AR132" s="166"/>
      <c r="AS132" s="165"/>
      <c r="AW132" s="165"/>
      <c r="AX132" s="166"/>
      <c r="AY132" s="165"/>
      <c r="BC132" s="165"/>
      <c r="BD132" s="166"/>
      <c r="BE132" s="165"/>
    </row>
    <row r="133" spans="5:57" ht="15" customHeight="1" x14ac:dyDescent="0.25">
      <c r="E133" s="165"/>
      <c r="F133" s="166"/>
      <c r="G133" s="165"/>
      <c r="J133" s="165"/>
      <c r="K133" s="166"/>
      <c r="L133" s="165"/>
      <c r="O133" s="165"/>
      <c r="P133" s="166"/>
      <c r="Q133" s="165"/>
      <c r="T133" s="165"/>
      <c r="U133" s="166"/>
      <c r="V133" s="165"/>
      <c r="Y133" s="165"/>
      <c r="Z133" s="166"/>
      <c r="AA133" s="165"/>
      <c r="AE133" s="165"/>
      <c r="AF133" s="166"/>
      <c r="AG133" s="165"/>
      <c r="AK133" s="165"/>
      <c r="AL133" s="166"/>
      <c r="AM133" s="165"/>
      <c r="AQ133" s="165"/>
      <c r="AR133" s="166"/>
      <c r="AS133" s="165"/>
      <c r="AW133" s="165"/>
      <c r="AX133" s="166"/>
      <c r="AY133" s="165"/>
      <c r="BC133" s="165"/>
      <c r="BD133" s="166"/>
      <c r="BE133" s="165"/>
    </row>
    <row r="134" spans="5:57" ht="15" customHeight="1" x14ac:dyDescent="0.25">
      <c r="E134" s="165"/>
      <c r="F134" s="166"/>
      <c r="G134" s="165"/>
      <c r="J134" s="165"/>
      <c r="K134" s="166"/>
      <c r="L134" s="165"/>
      <c r="O134" s="165"/>
      <c r="P134" s="166"/>
      <c r="Q134" s="165"/>
      <c r="T134" s="165"/>
      <c r="U134" s="166"/>
      <c r="V134" s="165"/>
      <c r="Y134" s="165"/>
      <c r="Z134" s="166"/>
      <c r="AA134" s="165"/>
      <c r="AE134" s="165"/>
      <c r="AF134" s="166"/>
      <c r="AG134" s="165"/>
      <c r="AK134" s="165"/>
      <c r="AL134" s="166"/>
      <c r="AM134" s="165"/>
      <c r="AQ134" s="165"/>
      <c r="AR134" s="166"/>
      <c r="AS134" s="165"/>
      <c r="AW134" s="165"/>
      <c r="AX134" s="166"/>
      <c r="AY134" s="165"/>
      <c r="BC134" s="165"/>
      <c r="BD134" s="166"/>
      <c r="BE134" s="165"/>
    </row>
    <row r="135" spans="5:57" ht="15" customHeight="1" x14ac:dyDescent="0.25">
      <c r="E135" s="165"/>
      <c r="F135" s="166"/>
      <c r="G135" s="165"/>
      <c r="J135" s="165"/>
      <c r="K135" s="166"/>
      <c r="L135" s="165"/>
      <c r="O135" s="165"/>
      <c r="P135" s="166"/>
      <c r="Q135" s="165"/>
      <c r="T135" s="165"/>
      <c r="U135" s="166"/>
      <c r="V135" s="165"/>
      <c r="Y135" s="165"/>
      <c r="Z135" s="166"/>
      <c r="AA135" s="165"/>
      <c r="AE135" s="165"/>
      <c r="AF135" s="166"/>
      <c r="AG135" s="165"/>
      <c r="AK135" s="165"/>
      <c r="AL135" s="166"/>
      <c r="AM135" s="165"/>
      <c r="AQ135" s="165"/>
      <c r="AR135" s="166"/>
      <c r="AS135" s="165"/>
      <c r="AW135" s="165"/>
      <c r="AX135" s="166"/>
      <c r="AY135" s="165"/>
      <c r="BC135" s="165"/>
      <c r="BD135" s="166"/>
      <c r="BE135" s="165"/>
    </row>
  </sheetData>
  <autoFilter ref="AC3:BE101" xr:uid="{00000000-0001-0000-09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6ED9-9098-4617-9E95-9BC091CBF37E}">
  <dimension ref="B2:BY66"/>
  <sheetViews>
    <sheetView showGridLines="0" topLeftCell="A4" workbookViewId="0">
      <selection activeCell="BN9" sqref="BN9:BO16"/>
    </sheetView>
  </sheetViews>
  <sheetFormatPr defaultRowHeight="15" outlineLevelRow="1" outlineLevelCol="2" x14ac:dyDescent="0.25"/>
  <cols>
    <col min="1" max="1" width="2.7109375" customWidth="1"/>
    <col min="2" max="2" width="8.7109375" style="10" hidden="1" customWidth="1" outlineLevel="1"/>
    <col min="3" max="3" width="8.7109375" hidden="1" customWidth="1" outlineLevel="1"/>
    <col min="4" max="4" width="8.7109375" hidden="1" customWidth="1" outlineLevel="1" collapsed="1"/>
    <col min="5" max="5" width="8.7109375" hidden="1" customWidth="1" outlineLevel="1"/>
    <col min="6" max="6" width="8.7109375" hidden="1" customWidth="1" outlineLevel="2"/>
    <col min="7" max="9" width="8.7109375" hidden="1" customWidth="1" outlineLevel="1"/>
    <col min="10" max="10" width="8.7109375" hidden="1" customWidth="1" outlineLevel="2"/>
    <col min="11" max="12" width="8.7109375" hidden="1" customWidth="1" outlineLevel="1"/>
    <col min="13" max="13" width="8.7109375" hidden="1" customWidth="1" outlineLevel="2"/>
    <col min="14" max="15" width="8.7109375" hidden="1" customWidth="1" outlineLevel="1"/>
    <col min="16" max="16" width="8.7109375" style="6" hidden="1" customWidth="1" outlineLevel="1"/>
    <col min="17" max="17" width="8.7109375" customWidth="1" collapsed="1"/>
    <col min="18" max="18" width="8.5703125" hidden="1" customWidth="1" outlineLevel="1"/>
    <col min="19" max="21" width="8.7109375" hidden="1" customWidth="1" outlineLevel="1"/>
    <col min="22" max="22" width="8.7109375" customWidth="1" collapsed="1"/>
    <col min="23" max="34" width="8.7109375" hidden="1" customWidth="1" outlineLevel="1"/>
    <col min="35" max="35" width="8.7109375" customWidth="1" collapsed="1"/>
    <col min="36" max="40" width="8.7109375" hidden="1" customWidth="1" outlineLevel="1"/>
    <col min="41" max="41" width="8.7109375" customWidth="1" collapsed="1"/>
    <col min="42" max="45" width="8.7109375" hidden="1" customWidth="1" outlineLevel="1"/>
    <col min="46" max="46" width="8.7109375" customWidth="1" collapsed="1"/>
    <col min="47" max="51" width="8.7109375" hidden="1" customWidth="1" outlineLevel="1"/>
    <col min="52" max="52" width="8.7109375" customWidth="1" collapsed="1"/>
    <col min="53" max="58" width="8.7109375" hidden="1" customWidth="1" outlineLevel="1"/>
    <col min="59" max="59" width="8.7109375" customWidth="1" collapsed="1"/>
    <col min="60" max="63" width="8.7109375" hidden="1" customWidth="1" outlineLevel="1"/>
    <col min="64" max="64" width="9.140625" collapsed="1"/>
    <col min="67" max="67" width="8.7109375" customWidth="1"/>
    <col min="68" max="73" width="7.7109375" hidden="1" customWidth="1" outlineLevel="1"/>
    <col min="74" max="74" width="7.7109375" customWidth="1" collapsed="1"/>
    <col min="75" max="75" width="7.7109375" customWidth="1"/>
    <col min="76" max="76" width="8.7109375" customWidth="1"/>
  </cols>
  <sheetData>
    <row r="2" spans="2:77" hidden="1" outlineLevel="1" x14ac:dyDescent="0.25">
      <c r="B2" s="10" t="s">
        <v>103</v>
      </c>
      <c r="D2">
        <v>1.60934</v>
      </c>
      <c r="E2">
        <v>60</v>
      </c>
    </row>
    <row r="3" spans="2:77" hidden="1" outlineLevel="1" x14ac:dyDescent="0.25"/>
    <row r="4" spans="2:77" s="4" customFormat="1" collapsed="1" x14ac:dyDescent="0.25">
      <c r="B4" s="11"/>
      <c r="D4" s="4" t="s">
        <v>195</v>
      </c>
      <c r="G4" s="4" t="s">
        <v>198</v>
      </c>
      <c r="I4" s="4" t="s">
        <v>202</v>
      </c>
      <c r="K4" s="4" t="s">
        <v>199</v>
      </c>
      <c r="N4" s="4" t="s">
        <v>200</v>
      </c>
      <c r="P4" s="7" t="s">
        <v>201</v>
      </c>
      <c r="V4" s="4" t="s">
        <v>195</v>
      </c>
      <c r="AI4" s="4" t="s">
        <v>198</v>
      </c>
      <c r="AO4" s="4" t="s">
        <v>202</v>
      </c>
      <c r="AT4" s="4" t="s">
        <v>199</v>
      </c>
      <c r="AZ4" s="4" t="s">
        <v>200</v>
      </c>
      <c r="BG4" s="16" t="s">
        <v>201</v>
      </c>
    </row>
    <row r="5" spans="2:77" s="8" customFormat="1" ht="15.75" thickBot="1" x14ac:dyDescent="0.3">
      <c r="B5" s="12" t="s">
        <v>102</v>
      </c>
      <c r="C5" s="8" t="s">
        <v>0</v>
      </c>
      <c r="D5" s="8" t="s">
        <v>196</v>
      </c>
      <c r="E5" s="8" t="s">
        <v>197</v>
      </c>
      <c r="F5" s="8" t="s">
        <v>1</v>
      </c>
      <c r="G5" s="8" t="s">
        <v>196</v>
      </c>
      <c r="H5" s="8" t="s">
        <v>197</v>
      </c>
      <c r="I5" s="8" t="s">
        <v>2</v>
      </c>
      <c r="J5" s="8" t="s">
        <v>3</v>
      </c>
      <c r="K5" s="8" t="s">
        <v>196</v>
      </c>
      <c r="L5" s="8" t="s">
        <v>197</v>
      </c>
      <c r="M5" s="8" t="s">
        <v>4</v>
      </c>
      <c r="N5" s="8" t="s">
        <v>196</v>
      </c>
      <c r="O5" s="8" t="s">
        <v>197</v>
      </c>
      <c r="P5" s="9" t="s">
        <v>5</v>
      </c>
      <c r="Q5" s="8" t="s">
        <v>203</v>
      </c>
      <c r="R5" s="8" t="s">
        <v>214</v>
      </c>
      <c r="S5" s="8" t="s">
        <v>215</v>
      </c>
      <c r="U5" s="8" t="s">
        <v>216</v>
      </c>
      <c r="V5" s="8" t="s">
        <v>196</v>
      </c>
      <c r="W5" s="8" t="s">
        <v>214</v>
      </c>
      <c r="X5" s="8" t="s">
        <v>215</v>
      </c>
      <c r="AA5" s="8" t="s">
        <v>216</v>
      </c>
      <c r="AD5" s="8" t="s">
        <v>197</v>
      </c>
      <c r="AE5" s="8" t="s">
        <v>214</v>
      </c>
      <c r="AF5" s="8" t="s">
        <v>215</v>
      </c>
      <c r="AH5" s="8" t="s">
        <v>216</v>
      </c>
      <c r="AI5" s="8" t="s">
        <v>196</v>
      </c>
      <c r="AJ5" s="8" t="s">
        <v>197</v>
      </c>
      <c r="AK5" s="8" t="s">
        <v>214</v>
      </c>
      <c r="AL5" s="8" t="s">
        <v>215</v>
      </c>
      <c r="AN5" s="8" t="s">
        <v>216</v>
      </c>
      <c r="AO5" s="8" t="s">
        <v>2</v>
      </c>
      <c r="AP5" s="8" t="s">
        <v>214</v>
      </c>
      <c r="AQ5" s="8" t="s">
        <v>215</v>
      </c>
      <c r="AS5" s="8" t="s">
        <v>216</v>
      </c>
      <c r="AT5" s="8" t="s">
        <v>196</v>
      </c>
      <c r="AU5" s="8" t="s">
        <v>197</v>
      </c>
      <c r="AV5" s="8" t="s">
        <v>214</v>
      </c>
      <c r="AW5" s="8" t="s">
        <v>215</v>
      </c>
      <c r="AY5" s="8" t="s">
        <v>216</v>
      </c>
      <c r="AZ5" s="8" t="s">
        <v>196</v>
      </c>
      <c r="BA5" s="8" t="s">
        <v>197</v>
      </c>
      <c r="BB5" s="8" t="s">
        <v>214</v>
      </c>
      <c r="BC5" s="8" t="s">
        <v>215</v>
      </c>
      <c r="BE5" s="8" t="s">
        <v>216</v>
      </c>
      <c r="BG5" s="17" t="s">
        <v>5</v>
      </c>
      <c r="BH5" s="8" t="s">
        <v>214</v>
      </c>
      <c r="BI5" s="8" t="s">
        <v>215</v>
      </c>
      <c r="BK5" s="8" t="s">
        <v>216</v>
      </c>
    </row>
    <row r="6" spans="2:77" x14ac:dyDescent="0.25">
      <c r="B6" s="13" t="s">
        <v>6</v>
      </c>
      <c r="C6" t="s">
        <v>7</v>
      </c>
      <c r="D6" s="3" t="s">
        <v>104</v>
      </c>
      <c r="E6" s="3" t="s">
        <v>13</v>
      </c>
      <c r="F6" t="s">
        <v>8</v>
      </c>
      <c r="G6" s="3" t="s">
        <v>129</v>
      </c>
      <c r="H6" s="3" t="s">
        <v>144</v>
      </c>
      <c r="I6" t="s">
        <v>9</v>
      </c>
      <c r="J6" t="s">
        <v>10</v>
      </c>
      <c r="K6" s="3" t="s">
        <v>153</v>
      </c>
      <c r="L6" s="3" t="s">
        <v>19</v>
      </c>
      <c r="M6" t="s">
        <v>11</v>
      </c>
      <c r="N6" s="3" t="s">
        <v>173</v>
      </c>
      <c r="O6" s="3" t="s">
        <v>145</v>
      </c>
      <c r="P6" s="14" t="s">
        <v>12</v>
      </c>
      <c r="Q6" s="1" t="str">
        <f t="shared" ref="Q6:Q20" si="0">QUOTIENT((_xlfn.TEXTBEFORE(B6,":")*$E$2+_xlfn.TEXTAFTER(B6,":"))/$D$2,$E$2)&amp;":"&amp;TEXT(MOD((_xlfn.TEXTBEFORE(B6,":")*$E$2+_xlfn.TEXTAFTER(B6,":"))/$D$2,$E$2),"00")</f>
        <v>3:06</v>
      </c>
      <c r="R6" s="1" t="str">
        <f>_xlfn.TEXTBEFORE(Q6,":")</f>
        <v>3</v>
      </c>
      <c r="S6" s="1" t="str">
        <f>_xlfn.TEXTAFTER(Q6,":")</f>
        <v>06</v>
      </c>
      <c r="T6" s="2">
        <f>R6*60+S6</f>
        <v>186</v>
      </c>
      <c r="U6" s="2">
        <f>T7-T6</f>
        <v>19</v>
      </c>
      <c r="V6" s="1" t="str">
        <f>D6</f>
        <v>17:05</v>
      </c>
      <c r="W6" s="1" t="str">
        <f>_xlfn.TEXTBEFORE(V6,":")</f>
        <v>17</v>
      </c>
      <c r="X6" s="1" t="str">
        <f>_xlfn.TEXTAFTER(V6,":")</f>
        <v>05</v>
      </c>
      <c r="Y6" s="2">
        <f>W6*60+X6</f>
        <v>1025</v>
      </c>
      <c r="Z6" s="2">
        <f>IF(AND(Y6&gt;$BR$8,SUM($Z$5:Z5)=0),1,0)</f>
        <v>0</v>
      </c>
      <c r="AA6" s="2">
        <f>Y7-Y6</f>
        <v>100</v>
      </c>
      <c r="AB6" s="2">
        <f t="shared" ref="AB6:AB19" si="1">IF(Z7=1,$BR$8-Y6,0)</f>
        <v>0</v>
      </c>
      <c r="AC6" s="18">
        <f t="shared" ref="AC6:AC15" si="2">AB6/AA6</f>
        <v>0</v>
      </c>
      <c r="AD6" s="1" t="str">
        <f t="shared" ref="AD6:AD20" si="3">QUOTIENT((_xlfn.TEXTBEFORE(E6,":")*$E$2+_xlfn.TEXTAFTER(E6,":"))/$D$2,$E$2)&amp;":"&amp;TEXT(MOD((_xlfn.TEXTBEFORE(E6,":")*$E$2+_xlfn.TEXTAFTER(E6,":"))/$D$2,$E$2),"00")</f>
        <v>3:25</v>
      </c>
      <c r="AE6" s="1" t="str">
        <f>_xlfn.TEXTBEFORE(AD6,":")</f>
        <v>3</v>
      </c>
      <c r="AF6" s="1" t="str">
        <f>_xlfn.TEXTAFTER(AD6,":")</f>
        <v>25</v>
      </c>
      <c r="AG6" s="2">
        <f>AE6*60+AF6</f>
        <v>205</v>
      </c>
      <c r="AH6" s="2">
        <f>AG7-AG6</f>
        <v>19</v>
      </c>
      <c r="AI6" s="1" t="str">
        <f>G6</f>
        <v>35:45</v>
      </c>
      <c r="AJ6" s="1" t="str">
        <f t="shared" ref="AJ6:AJ20" si="4">QUOTIENT((_xlfn.TEXTBEFORE(H6,":")*$E$2+_xlfn.TEXTAFTER(H6,":"))/$D$2,$E$2)&amp;":"&amp;TEXT(MOD((_xlfn.TEXTBEFORE(H6,":")*$E$2+_xlfn.TEXTAFTER(H6,":"))/$D$2,$E$2),"00")</f>
        <v>3:34</v>
      </c>
      <c r="AK6" s="1" t="str">
        <f>_xlfn.TEXTBEFORE(AJ6,":")</f>
        <v>3</v>
      </c>
      <c r="AL6" s="1" t="str">
        <f>_xlfn.TEXTAFTER(AJ6,":")</f>
        <v>34</v>
      </c>
      <c r="AM6" s="2">
        <f>AK6*60+AL6</f>
        <v>214</v>
      </c>
      <c r="AN6" s="2">
        <f>AM7-AM6</f>
        <v>19</v>
      </c>
      <c r="AO6" s="1" t="str">
        <f t="shared" ref="AO6:AO20" si="5">QUOTIENT((_xlfn.TEXTBEFORE(I6,":")*$E$2+_xlfn.TEXTAFTER(I6,":"))/$D$2,$E$2)&amp;":"&amp;TEXT(MOD((_xlfn.TEXTBEFORE(I6,":")*$E$2+_xlfn.TEXTAFTER(I6,":"))/$D$2,$E$2),"00")</f>
        <v>3:47</v>
      </c>
      <c r="AP6" s="1" t="str">
        <f>_xlfn.TEXTBEFORE(AO6,":")</f>
        <v>3</v>
      </c>
      <c r="AQ6" s="1" t="str">
        <f>_xlfn.TEXTAFTER(AO6,":")</f>
        <v>47</v>
      </c>
      <c r="AR6" s="2">
        <f t="shared" ref="AR6:AR20" si="6">AP6*60+AQ6</f>
        <v>227</v>
      </c>
      <c r="AS6" s="2">
        <f>AR7-AR6</f>
        <v>18</v>
      </c>
      <c r="AT6" s="1" t="str">
        <f t="shared" ref="AT6:AT20" si="7">K6</f>
        <v>1:18:00</v>
      </c>
      <c r="AU6" s="1" t="str">
        <f t="shared" ref="AU6:AU20" si="8">QUOTIENT((_xlfn.TEXTBEFORE(L6,":")*$E$2+_xlfn.TEXTAFTER(L6,":"))/$D$2,$E$2)&amp;":"&amp;TEXT(MOD((_xlfn.TEXTBEFORE(L6,":")*$E$2+_xlfn.TEXTAFTER(L6,":"))/$D$2,$E$2),"00")</f>
        <v>3:44</v>
      </c>
      <c r="AV6" s="1" t="str">
        <f>_xlfn.TEXTBEFORE(AU6,":")</f>
        <v>3</v>
      </c>
      <c r="AW6" s="1" t="str">
        <f>_xlfn.TEXTAFTER(AU6,":")</f>
        <v>44</v>
      </c>
      <c r="AX6" s="2">
        <f>AV6*60+AW6</f>
        <v>224</v>
      </c>
      <c r="AY6" s="2">
        <f>AX7-AX6</f>
        <v>18</v>
      </c>
      <c r="AZ6" s="1" t="str">
        <f>N6</f>
        <v>2:44:00</v>
      </c>
      <c r="BA6" s="1" t="str">
        <f t="shared" ref="BA6:BA20" si="9">QUOTIENT((_xlfn.TEXTBEFORE(O6,":")*$E$2+_xlfn.TEXTAFTER(O6,":"))/$D$2,$E$2)&amp;":"&amp;TEXT(MOD((_xlfn.TEXTBEFORE(O6,":")*$E$2+_xlfn.TEXTAFTER(O6,":"))/$D$2,$E$2),"00")</f>
        <v>3:53</v>
      </c>
      <c r="BB6" s="1" t="str">
        <f>_xlfn.TEXTBEFORE(BA6,":")</f>
        <v>3</v>
      </c>
      <c r="BC6" s="1" t="str">
        <f>_xlfn.TEXTAFTER(BA6,":")</f>
        <v>53</v>
      </c>
      <c r="BD6" s="2">
        <f>BB6*60+BC6</f>
        <v>233</v>
      </c>
      <c r="BE6" s="2">
        <f>BD7-BD6</f>
        <v>22</v>
      </c>
      <c r="BF6" s="2">
        <f>BB6*60+BC6</f>
        <v>233</v>
      </c>
      <c r="BG6" s="1" t="str">
        <f t="shared" ref="BG6:BG20" si="10">QUOTIENT((_xlfn.TEXTBEFORE(P6,":")*$E$2+_xlfn.TEXTAFTER(P6,":"))/$D$2,$E$2)&amp;":"&amp;TEXT(MOD((_xlfn.TEXTBEFORE(P6,":")*$E$2+_xlfn.TEXTAFTER(P6,":"))/$D$2,$E$2),"00")</f>
        <v>4:21</v>
      </c>
      <c r="BH6" s="1" t="str">
        <f>_xlfn.TEXTBEFORE(BG6,":")</f>
        <v>4</v>
      </c>
      <c r="BI6" s="1" t="str">
        <f>_xlfn.TEXTAFTER(BG6,":")</f>
        <v>21</v>
      </c>
      <c r="BJ6" s="2">
        <f>BH6*60+BI6</f>
        <v>261</v>
      </c>
      <c r="BK6" s="2">
        <f>BJ7-BJ6</f>
        <v>22</v>
      </c>
    </row>
    <row r="7" spans="2:77" x14ac:dyDescent="0.25">
      <c r="B7" s="13" t="s">
        <v>13</v>
      </c>
      <c r="C7" t="s">
        <v>14</v>
      </c>
      <c r="D7" s="3" t="s">
        <v>105</v>
      </c>
      <c r="E7" s="3" t="s">
        <v>19</v>
      </c>
      <c r="F7" t="s">
        <v>15</v>
      </c>
      <c r="G7" s="3" t="s">
        <v>130</v>
      </c>
      <c r="H7" s="3" t="s">
        <v>145</v>
      </c>
      <c r="I7" t="s">
        <v>16</v>
      </c>
      <c r="J7" t="s">
        <v>17</v>
      </c>
      <c r="K7" s="3" t="s">
        <v>154</v>
      </c>
      <c r="L7" s="3" t="s">
        <v>26</v>
      </c>
      <c r="M7" t="s">
        <v>188</v>
      </c>
      <c r="N7" s="3" t="s">
        <v>187</v>
      </c>
      <c r="O7" s="3" t="s">
        <v>189</v>
      </c>
      <c r="P7" s="15" t="s">
        <v>18</v>
      </c>
      <c r="Q7" s="1" t="str">
        <f t="shared" si="0"/>
        <v>3:25</v>
      </c>
      <c r="R7" s="1" t="str">
        <f t="shared" ref="R7:R20" si="11">_xlfn.TEXTBEFORE(Q7,":")</f>
        <v>3</v>
      </c>
      <c r="S7" s="1" t="str">
        <f t="shared" ref="S7:S20" si="12">_xlfn.TEXTAFTER(Q7,":")</f>
        <v>25</v>
      </c>
      <c r="T7" s="2">
        <f t="shared" ref="T7:T20" si="13">R7*60+S7</f>
        <v>205</v>
      </c>
      <c r="U7" s="2">
        <f t="shared" ref="U7:U19" si="14">T8-T7</f>
        <v>19</v>
      </c>
      <c r="V7" s="1" t="str">
        <f t="shared" ref="V7:V20" si="15">D7</f>
        <v>18:45</v>
      </c>
      <c r="W7" s="1" t="str">
        <f t="shared" ref="W7:W20" si="16">_xlfn.TEXTBEFORE(V7,":")</f>
        <v>18</v>
      </c>
      <c r="X7" s="1" t="str">
        <f t="shared" ref="X7:X20" si="17">_xlfn.TEXTAFTER(V7,":")</f>
        <v>45</v>
      </c>
      <c r="Y7" s="2">
        <f t="shared" ref="Y7:Y20" si="18">W7*60+X7</f>
        <v>1125</v>
      </c>
      <c r="Z7" s="2">
        <f>IF(AND(Y7&gt;$BR$8,SUM($Z$5:Z6)=0),1,0)</f>
        <v>0</v>
      </c>
      <c r="AA7" s="2">
        <f t="shared" ref="AA7:AA19" si="19">Y8-Y7</f>
        <v>90</v>
      </c>
      <c r="AB7" s="2">
        <f t="shared" si="1"/>
        <v>0</v>
      </c>
      <c r="AC7" s="18">
        <f t="shared" si="2"/>
        <v>0</v>
      </c>
      <c r="AD7" s="1" t="str">
        <f t="shared" si="3"/>
        <v>3:44</v>
      </c>
      <c r="AE7" s="1" t="str">
        <f t="shared" ref="AE7:AE20" si="20">_xlfn.TEXTBEFORE(AD7,":")</f>
        <v>3</v>
      </c>
      <c r="AF7" s="1" t="str">
        <f t="shared" ref="AF7:AF20" si="21">_xlfn.TEXTAFTER(AD7,":")</f>
        <v>44</v>
      </c>
      <c r="AG7" s="2">
        <f t="shared" ref="AG7:AG20" si="22">AE7*60+AF7</f>
        <v>224</v>
      </c>
      <c r="AH7" s="2">
        <f t="shared" ref="AH7:AH19" si="23">AG8-AG7</f>
        <v>18</v>
      </c>
      <c r="AI7" s="1" t="str">
        <f t="shared" ref="AI7:AI20" si="24">G7</f>
        <v>39:00</v>
      </c>
      <c r="AJ7" s="1" t="str">
        <f t="shared" si="4"/>
        <v>3:53</v>
      </c>
      <c r="AK7" s="1" t="str">
        <f t="shared" ref="AK7:AK20" si="25">_xlfn.TEXTBEFORE(AJ7,":")</f>
        <v>3</v>
      </c>
      <c r="AL7" s="1" t="str">
        <f t="shared" ref="AL7:AL20" si="26">_xlfn.TEXTAFTER(AJ7,":")</f>
        <v>53</v>
      </c>
      <c r="AM7" s="2">
        <f t="shared" ref="AM7:AM20" si="27">AK7*60+AL7</f>
        <v>233</v>
      </c>
      <c r="AN7" s="2">
        <f t="shared" ref="AN7:AN19" si="28">AM8-AM7</f>
        <v>19</v>
      </c>
      <c r="AO7" s="1" t="str">
        <f t="shared" si="5"/>
        <v>4:05</v>
      </c>
      <c r="AP7" s="1" t="str">
        <f t="shared" ref="AP7:AP20" si="29">_xlfn.TEXTBEFORE(AO7,":")</f>
        <v>4</v>
      </c>
      <c r="AQ7" s="1" t="str">
        <f t="shared" ref="AQ7:AQ20" si="30">_xlfn.TEXTAFTER(AO7,":")</f>
        <v>05</v>
      </c>
      <c r="AR7" s="2">
        <f t="shared" si="6"/>
        <v>245</v>
      </c>
      <c r="AS7" s="2">
        <f t="shared" ref="AS7:AS19" si="31">AR8-AR7</f>
        <v>19</v>
      </c>
      <c r="AT7" s="1" t="str">
        <f t="shared" si="7"/>
        <v>1:25:00</v>
      </c>
      <c r="AU7" s="1" t="str">
        <f t="shared" si="8"/>
        <v>4:02</v>
      </c>
      <c r="AV7" s="1" t="str">
        <f t="shared" ref="AV7:AV20" si="32">_xlfn.TEXTBEFORE(AU7,":")</f>
        <v>4</v>
      </c>
      <c r="AW7" s="1" t="str">
        <f t="shared" ref="AW7:AW20" si="33">_xlfn.TEXTAFTER(AU7,":")</f>
        <v>02</v>
      </c>
      <c r="AX7" s="2">
        <f t="shared" ref="AX7:AX20" si="34">AV7*60+AW7</f>
        <v>242</v>
      </c>
      <c r="AY7" s="2">
        <f t="shared" ref="AY7:AY19" si="35">AX8-AX7</f>
        <v>28</v>
      </c>
      <c r="AZ7" s="1" t="str">
        <f t="shared" ref="AZ7:AZ20" si="36">N7</f>
        <v>3:00:00</v>
      </c>
      <c r="BA7" s="1" t="str">
        <f t="shared" si="9"/>
        <v>4:15</v>
      </c>
      <c r="BB7" s="1" t="str">
        <f t="shared" ref="BB7:BB20" si="37">_xlfn.TEXTBEFORE(BA7,":")</f>
        <v>4</v>
      </c>
      <c r="BC7" s="1" t="str">
        <f t="shared" ref="BC7:BC20" si="38">_xlfn.TEXTAFTER(BA7,":")</f>
        <v>15</v>
      </c>
      <c r="BD7" s="2">
        <f t="shared" ref="BD7:BD20" si="39">BB7*60+BC7</f>
        <v>255</v>
      </c>
      <c r="BE7" s="2">
        <f t="shared" ref="BE7:BE19" si="40">BD8-BD7</f>
        <v>22</v>
      </c>
      <c r="BF7" s="2">
        <f t="shared" ref="BF7:BF20" si="41">BB7*60+BC7</f>
        <v>255</v>
      </c>
      <c r="BG7" s="1" t="str">
        <f t="shared" si="10"/>
        <v>4:43</v>
      </c>
      <c r="BH7" s="1" t="str">
        <f t="shared" ref="BH7:BH20" si="42">_xlfn.TEXTBEFORE(BG7,":")</f>
        <v>4</v>
      </c>
      <c r="BI7" s="1" t="str">
        <f t="shared" ref="BI7:BI20" si="43">_xlfn.TEXTAFTER(BG7,":")</f>
        <v>43</v>
      </c>
      <c r="BJ7" s="2">
        <f t="shared" ref="BJ7:BJ20" si="44">BH7*60+BI7</f>
        <v>283</v>
      </c>
      <c r="BK7" s="2">
        <f t="shared" ref="BK7:BK19" si="45">BJ8-BJ7</f>
        <v>21</v>
      </c>
      <c r="BM7" s="25"/>
      <c r="BN7" s="26" t="s">
        <v>218</v>
      </c>
      <c r="BO7" s="25" t="s">
        <v>197</v>
      </c>
      <c r="BP7" s="25" t="s">
        <v>214</v>
      </c>
      <c r="BQ7" s="25" t="s">
        <v>220</v>
      </c>
      <c r="BR7" s="25" t="s">
        <v>221</v>
      </c>
      <c r="BS7" s="25"/>
      <c r="BT7" s="25"/>
      <c r="BU7" s="25"/>
      <c r="BV7" s="25" t="s">
        <v>222</v>
      </c>
      <c r="BW7" s="25" t="s">
        <v>645</v>
      </c>
      <c r="BX7" s="25" t="s">
        <v>196</v>
      </c>
    </row>
    <row r="8" spans="2:77" x14ac:dyDescent="0.25">
      <c r="B8" s="13" t="s">
        <v>19</v>
      </c>
      <c r="C8" t="s">
        <v>20</v>
      </c>
      <c r="D8" s="3" t="s">
        <v>106</v>
      </c>
      <c r="E8" s="3" t="s">
        <v>26</v>
      </c>
      <c r="F8" t="s">
        <v>21</v>
      </c>
      <c r="G8" s="3" t="s">
        <v>131</v>
      </c>
      <c r="H8" s="3" t="s">
        <v>146</v>
      </c>
      <c r="I8" t="s">
        <v>22</v>
      </c>
      <c r="J8" t="s">
        <v>23</v>
      </c>
      <c r="K8" s="3" t="s">
        <v>155</v>
      </c>
      <c r="L8" s="3" t="s">
        <v>168</v>
      </c>
      <c r="M8" t="s">
        <v>24</v>
      </c>
      <c r="N8" s="3" t="s">
        <v>174</v>
      </c>
      <c r="O8" s="3" t="s">
        <v>190</v>
      </c>
      <c r="P8" s="15" t="s">
        <v>25</v>
      </c>
      <c r="Q8" s="1" t="str">
        <f t="shared" si="0"/>
        <v>3:44</v>
      </c>
      <c r="R8" s="1" t="str">
        <f t="shared" si="11"/>
        <v>3</v>
      </c>
      <c r="S8" s="1" t="str">
        <f t="shared" si="12"/>
        <v>44</v>
      </c>
      <c r="T8" s="2">
        <f t="shared" si="13"/>
        <v>224</v>
      </c>
      <c r="U8" s="2">
        <f t="shared" si="14"/>
        <v>18</v>
      </c>
      <c r="V8" s="1" t="str">
        <f t="shared" si="15"/>
        <v>20:15</v>
      </c>
      <c r="W8" s="1" t="str">
        <f t="shared" si="16"/>
        <v>20</v>
      </c>
      <c r="X8" s="1" t="str">
        <f t="shared" si="17"/>
        <v>15</v>
      </c>
      <c r="Y8" s="2">
        <f t="shared" si="18"/>
        <v>1215</v>
      </c>
      <c r="Z8" s="2">
        <f>IF(AND(Y8&gt;$BR$8,SUM($Z$5:Z7)=0),1,0)</f>
        <v>0</v>
      </c>
      <c r="AA8" s="2">
        <f t="shared" si="19"/>
        <v>105</v>
      </c>
      <c r="AB8" s="2">
        <f t="shared" si="1"/>
        <v>0</v>
      </c>
      <c r="AC8" s="18">
        <f t="shared" si="2"/>
        <v>0</v>
      </c>
      <c r="AD8" s="1" t="str">
        <f t="shared" si="3"/>
        <v>4:02</v>
      </c>
      <c r="AE8" s="1" t="str">
        <f t="shared" si="20"/>
        <v>4</v>
      </c>
      <c r="AF8" s="1" t="str">
        <f t="shared" si="21"/>
        <v>02</v>
      </c>
      <c r="AG8" s="2">
        <f t="shared" si="22"/>
        <v>242</v>
      </c>
      <c r="AH8" s="2">
        <f t="shared" si="23"/>
        <v>22</v>
      </c>
      <c r="AI8" s="1" t="str">
        <f t="shared" si="24"/>
        <v>42:00</v>
      </c>
      <c r="AJ8" s="1" t="str">
        <f t="shared" si="4"/>
        <v>4:12</v>
      </c>
      <c r="AK8" s="1" t="str">
        <f t="shared" si="25"/>
        <v>4</v>
      </c>
      <c r="AL8" s="1" t="str">
        <f t="shared" si="26"/>
        <v>12</v>
      </c>
      <c r="AM8" s="2">
        <f t="shared" si="27"/>
        <v>252</v>
      </c>
      <c r="AN8" s="2">
        <f t="shared" si="28"/>
        <v>21</v>
      </c>
      <c r="AO8" s="1" t="str">
        <f t="shared" si="5"/>
        <v>4:24</v>
      </c>
      <c r="AP8" s="1" t="str">
        <f t="shared" si="29"/>
        <v>4</v>
      </c>
      <c r="AQ8" s="1" t="str">
        <f t="shared" si="30"/>
        <v>24</v>
      </c>
      <c r="AR8" s="2">
        <f t="shared" si="6"/>
        <v>264</v>
      </c>
      <c r="AS8" s="2">
        <f t="shared" si="31"/>
        <v>22</v>
      </c>
      <c r="AT8" s="1" t="str">
        <f t="shared" si="7"/>
        <v>1:35:00</v>
      </c>
      <c r="AU8" s="1" t="str">
        <f t="shared" si="8"/>
        <v>4:30</v>
      </c>
      <c r="AV8" s="1" t="str">
        <f t="shared" si="32"/>
        <v>4</v>
      </c>
      <c r="AW8" s="1" t="str">
        <f t="shared" si="33"/>
        <v>30</v>
      </c>
      <c r="AX8" s="2">
        <f t="shared" si="34"/>
        <v>270</v>
      </c>
      <c r="AY8" s="2">
        <f t="shared" si="35"/>
        <v>13</v>
      </c>
      <c r="AZ8" s="1" t="str">
        <f t="shared" si="36"/>
        <v>3:15:00</v>
      </c>
      <c r="BA8" s="1" t="str">
        <f t="shared" si="9"/>
        <v>4:37</v>
      </c>
      <c r="BB8" s="1" t="str">
        <f t="shared" si="37"/>
        <v>4</v>
      </c>
      <c r="BC8" s="1" t="str">
        <f t="shared" si="38"/>
        <v>37</v>
      </c>
      <c r="BD8" s="2">
        <f t="shared" si="39"/>
        <v>277</v>
      </c>
      <c r="BE8" s="2">
        <f t="shared" si="40"/>
        <v>21</v>
      </c>
      <c r="BF8" s="2">
        <f t="shared" si="41"/>
        <v>277</v>
      </c>
      <c r="BG8" s="1" t="str">
        <f t="shared" si="10"/>
        <v>5:04</v>
      </c>
      <c r="BH8" s="1" t="str">
        <f t="shared" si="42"/>
        <v>5</v>
      </c>
      <c r="BI8" s="1" t="str">
        <f t="shared" si="43"/>
        <v>04</v>
      </c>
      <c r="BJ8" s="2">
        <f t="shared" si="44"/>
        <v>304</v>
      </c>
      <c r="BK8" s="2">
        <f t="shared" si="45"/>
        <v>22</v>
      </c>
      <c r="BM8" t="s">
        <v>207</v>
      </c>
      <c r="BN8" s="24" t="s">
        <v>208</v>
      </c>
      <c r="BO8" s="78" t="s">
        <v>714</v>
      </c>
      <c r="BP8" t="str">
        <f>_xlfn.TEXTBEFORE(BO8,":")</f>
        <v>23</v>
      </c>
      <c r="BQ8" t="str">
        <f>_xlfn.TEXTAFTER(BO8,":")</f>
        <v>01</v>
      </c>
      <c r="BR8" s="2">
        <f>BP8*60+BQ8</f>
        <v>1381</v>
      </c>
    </row>
    <row r="9" spans="2:77" x14ac:dyDescent="0.25">
      <c r="B9" s="13" t="s">
        <v>26</v>
      </c>
      <c r="C9" t="s">
        <v>27</v>
      </c>
      <c r="D9" s="3" t="s">
        <v>107</v>
      </c>
      <c r="E9" s="3" t="s">
        <v>22</v>
      </c>
      <c r="F9" t="s">
        <v>28</v>
      </c>
      <c r="G9" s="3" t="s">
        <v>132</v>
      </c>
      <c r="H9" s="3" t="s">
        <v>147</v>
      </c>
      <c r="I9" t="s">
        <v>29</v>
      </c>
      <c r="J9" t="s">
        <v>30</v>
      </c>
      <c r="K9" s="3" t="s">
        <v>156</v>
      </c>
      <c r="L9" s="3" t="s">
        <v>18</v>
      </c>
      <c r="M9" t="s">
        <v>31</v>
      </c>
      <c r="N9" s="3" t="s">
        <v>175</v>
      </c>
      <c r="O9" s="3" t="s">
        <v>46</v>
      </c>
      <c r="P9" s="15" t="s">
        <v>32</v>
      </c>
      <c r="Q9" s="1" t="str">
        <f t="shared" si="0"/>
        <v>4:02</v>
      </c>
      <c r="R9" s="1" t="str">
        <f t="shared" si="11"/>
        <v>4</v>
      </c>
      <c r="S9" s="1" t="str">
        <f t="shared" si="12"/>
        <v>02</v>
      </c>
      <c r="T9" s="2">
        <f t="shared" si="13"/>
        <v>242</v>
      </c>
      <c r="U9" s="2">
        <f t="shared" si="14"/>
        <v>19</v>
      </c>
      <c r="V9" s="1" t="str">
        <f t="shared" si="15"/>
        <v>22:00</v>
      </c>
      <c r="W9" s="1" t="str">
        <f t="shared" si="16"/>
        <v>22</v>
      </c>
      <c r="X9" s="1" t="str">
        <f t="shared" si="17"/>
        <v>00</v>
      </c>
      <c r="Y9" s="2">
        <f t="shared" si="18"/>
        <v>1320</v>
      </c>
      <c r="Z9" s="2">
        <f>IF(AND(Y9&gt;$BR$8,SUM($Z$5:Z8)=0),1,0)</f>
        <v>0</v>
      </c>
      <c r="AA9" s="2">
        <f t="shared" si="19"/>
        <v>105</v>
      </c>
      <c r="AB9" s="2">
        <f t="shared" si="1"/>
        <v>61</v>
      </c>
      <c r="AC9" s="18">
        <f t="shared" si="2"/>
        <v>0.580952380952381</v>
      </c>
      <c r="AD9" s="1" t="str">
        <f t="shared" si="3"/>
        <v>4:24</v>
      </c>
      <c r="AE9" s="1" t="str">
        <f t="shared" si="20"/>
        <v>4</v>
      </c>
      <c r="AF9" s="1" t="str">
        <f t="shared" si="21"/>
        <v>24</v>
      </c>
      <c r="AG9" s="2">
        <f t="shared" si="22"/>
        <v>264</v>
      </c>
      <c r="AH9" s="2">
        <f t="shared" si="23"/>
        <v>22</v>
      </c>
      <c r="AI9" s="1" t="str">
        <f t="shared" si="24"/>
        <v>45:45</v>
      </c>
      <c r="AJ9" s="1" t="str">
        <f t="shared" si="4"/>
        <v>4:33</v>
      </c>
      <c r="AK9" s="1" t="str">
        <f t="shared" si="25"/>
        <v>4</v>
      </c>
      <c r="AL9" s="1" t="str">
        <f t="shared" si="26"/>
        <v>33</v>
      </c>
      <c r="AM9" s="2">
        <f t="shared" si="27"/>
        <v>273</v>
      </c>
      <c r="AN9" s="2">
        <f t="shared" si="28"/>
        <v>22</v>
      </c>
      <c r="AO9" s="1" t="str">
        <f t="shared" si="5"/>
        <v>4:46</v>
      </c>
      <c r="AP9" s="1" t="str">
        <f t="shared" si="29"/>
        <v>4</v>
      </c>
      <c r="AQ9" s="1" t="str">
        <f t="shared" si="30"/>
        <v>46</v>
      </c>
      <c r="AR9" s="2">
        <f t="shared" si="6"/>
        <v>286</v>
      </c>
      <c r="AS9" s="2">
        <f t="shared" si="31"/>
        <v>22</v>
      </c>
      <c r="AT9" s="1" t="str">
        <f t="shared" si="7"/>
        <v>1:40:00</v>
      </c>
      <c r="AU9" s="1" t="str">
        <f t="shared" si="8"/>
        <v>4:43</v>
      </c>
      <c r="AV9" s="1" t="str">
        <f t="shared" si="32"/>
        <v>4</v>
      </c>
      <c r="AW9" s="1" t="str">
        <f t="shared" si="33"/>
        <v>43</v>
      </c>
      <c r="AX9" s="2">
        <f t="shared" si="34"/>
        <v>283</v>
      </c>
      <c r="AY9" s="2">
        <f t="shared" si="35"/>
        <v>28</v>
      </c>
      <c r="AZ9" s="1" t="str">
        <f t="shared" si="36"/>
        <v>3:30:00</v>
      </c>
      <c r="BA9" s="1" t="str">
        <f t="shared" si="9"/>
        <v>4:58</v>
      </c>
      <c r="BB9" s="1" t="str">
        <f t="shared" si="37"/>
        <v>4</v>
      </c>
      <c r="BC9" s="1" t="str">
        <f t="shared" si="38"/>
        <v>58</v>
      </c>
      <c r="BD9" s="2">
        <f t="shared" si="39"/>
        <v>298</v>
      </c>
      <c r="BE9" s="2">
        <f t="shared" si="40"/>
        <v>22</v>
      </c>
      <c r="BF9" s="2">
        <f t="shared" si="41"/>
        <v>298</v>
      </c>
      <c r="BG9" s="1" t="str">
        <f t="shared" si="10"/>
        <v>5:26</v>
      </c>
      <c r="BH9" s="1" t="str">
        <f t="shared" si="42"/>
        <v>5</v>
      </c>
      <c r="BI9" s="1" t="str">
        <f t="shared" si="43"/>
        <v>26</v>
      </c>
      <c r="BJ9" s="2">
        <f t="shared" si="44"/>
        <v>326</v>
      </c>
      <c r="BK9" s="2">
        <f t="shared" si="45"/>
        <v>22</v>
      </c>
      <c r="BM9" t="s">
        <v>209</v>
      </c>
      <c r="BN9" s="24" t="s">
        <v>203</v>
      </c>
      <c r="BO9" s="5" t="str">
        <f>TEXT(BP9,"00")&amp;":"&amp;TEXT(BQ9,"00")</f>
        <v>04:13</v>
      </c>
      <c r="BP9" s="19">
        <f>QUOTIENT(BR9,$E$2)</f>
        <v>4</v>
      </c>
      <c r="BQ9" s="19">
        <f>MOD(BR9,$E$2)</f>
        <v>13.038095238095252</v>
      </c>
      <c r="BR9" s="2">
        <f>BS9+BT9</f>
        <v>253.03809523809525</v>
      </c>
      <c r="BS9" cm="1">
        <f t="array" ref="BS9">INDEX($T$6:$T$20,MATCH(1,$Z$6:$Z$20,0)-1)</f>
        <v>242</v>
      </c>
      <c r="BT9" s="20">
        <f>SUMPRODUCT($U$6:$U$19,$AC$6:$AC$19)</f>
        <v>11.03809523809524</v>
      </c>
      <c r="BU9" s="20"/>
      <c r="BV9" s="92">
        <f>ROUND(1/BR9*60*1000,-1)</f>
        <v>240</v>
      </c>
      <c r="BW9" s="96">
        <f>3600/BR9</f>
        <v>14.227106778576536</v>
      </c>
      <c r="BX9" s="20"/>
      <c r="BY9" s="39" t="s">
        <v>203</v>
      </c>
    </row>
    <row r="10" spans="2:77" x14ac:dyDescent="0.25">
      <c r="B10" s="13" t="s">
        <v>12</v>
      </c>
      <c r="C10" t="s">
        <v>33</v>
      </c>
      <c r="D10" s="3" t="s">
        <v>108</v>
      </c>
      <c r="E10" s="3" t="s">
        <v>29</v>
      </c>
      <c r="F10" t="s">
        <v>34</v>
      </c>
      <c r="G10" s="3" t="s">
        <v>133</v>
      </c>
      <c r="H10" s="3" t="s">
        <v>148</v>
      </c>
      <c r="I10" t="s">
        <v>35</v>
      </c>
      <c r="J10" t="s">
        <v>36</v>
      </c>
      <c r="K10" s="3" t="s">
        <v>157</v>
      </c>
      <c r="L10" s="3" t="s">
        <v>169</v>
      </c>
      <c r="M10" t="s">
        <v>37</v>
      </c>
      <c r="N10" s="3" t="s">
        <v>176</v>
      </c>
      <c r="O10" s="3" t="s">
        <v>191</v>
      </c>
      <c r="P10" s="15" t="s">
        <v>38</v>
      </c>
      <c r="Q10" s="1" t="str">
        <f t="shared" si="0"/>
        <v>4:21</v>
      </c>
      <c r="R10" s="1" t="str">
        <f t="shared" si="11"/>
        <v>4</v>
      </c>
      <c r="S10" s="1" t="str">
        <f t="shared" si="12"/>
        <v>21</v>
      </c>
      <c r="T10" s="2">
        <f t="shared" si="13"/>
        <v>261</v>
      </c>
      <c r="U10" s="2">
        <f t="shared" si="14"/>
        <v>19</v>
      </c>
      <c r="V10" s="1" t="str">
        <f t="shared" si="15"/>
        <v>23:45</v>
      </c>
      <c r="W10" s="1" t="str">
        <f t="shared" si="16"/>
        <v>23</v>
      </c>
      <c r="X10" s="1" t="str">
        <f t="shared" si="17"/>
        <v>45</v>
      </c>
      <c r="Y10" s="2">
        <f t="shared" si="18"/>
        <v>1425</v>
      </c>
      <c r="Z10" s="2">
        <f>IF(AND(Y10&gt;$BR$8,SUM($Z$5:Z9)=0),1,0)</f>
        <v>1</v>
      </c>
      <c r="AA10" s="2">
        <f t="shared" si="19"/>
        <v>90</v>
      </c>
      <c r="AB10" s="2">
        <f t="shared" si="1"/>
        <v>0</v>
      </c>
      <c r="AC10" s="18">
        <f t="shared" si="2"/>
        <v>0</v>
      </c>
      <c r="AD10" s="1" t="str">
        <f t="shared" si="3"/>
        <v>4:46</v>
      </c>
      <c r="AE10" s="1" t="str">
        <f t="shared" si="20"/>
        <v>4</v>
      </c>
      <c r="AF10" s="1" t="str">
        <f t="shared" si="21"/>
        <v>46</v>
      </c>
      <c r="AG10" s="2">
        <f t="shared" si="22"/>
        <v>286</v>
      </c>
      <c r="AH10" s="2">
        <f t="shared" si="23"/>
        <v>15</v>
      </c>
      <c r="AI10" s="1" t="str">
        <f t="shared" si="24"/>
        <v>49:00</v>
      </c>
      <c r="AJ10" s="1" t="str">
        <f t="shared" si="4"/>
        <v>4:55</v>
      </c>
      <c r="AK10" s="1" t="str">
        <f t="shared" si="25"/>
        <v>4</v>
      </c>
      <c r="AL10" s="1" t="str">
        <f t="shared" si="26"/>
        <v>55</v>
      </c>
      <c r="AM10" s="2">
        <f t="shared" si="27"/>
        <v>295</v>
      </c>
      <c r="AN10" s="2">
        <f t="shared" si="28"/>
        <v>19</v>
      </c>
      <c r="AO10" s="1" t="str">
        <f t="shared" si="5"/>
        <v>5:08</v>
      </c>
      <c r="AP10" s="1" t="str">
        <f t="shared" si="29"/>
        <v>5</v>
      </c>
      <c r="AQ10" s="1" t="str">
        <f t="shared" si="30"/>
        <v>08</v>
      </c>
      <c r="AR10" s="2">
        <f t="shared" si="6"/>
        <v>308</v>
      </c>
      <c r="AS10" s="2">
        <f t="shared" si="31"/>
        <v>21</v>
      </c>
      <c r="AT10" s="1" t="str">
        <f t="shared" si="7"/>
        <v>1:50:00</v>
      </c>
      <c r="AU10" s="1" t="str">
        <f t="shared" si="8"/>
        <v>5:11</v>
      </c>
      <c r="AV10" s="1" t="str">
        <f t="shared" si="32"/>
        <v>5</v>
      </c>
      <c r="AW10" s="1" t="str">
        <f t="shared" si="33"/>
        <v>11</v>
      </c>
      <c r="AX10" s="2">
        <f t="shared" si="34"/>
        <v>311</v>
      </c>
      <c r="AY10" s="2">
        <f t="shared" si="35"/>
        <v>15</v>
      </c>
      <c r="AZ10" s="1" t="str">
        <f t="shared" si="36"/>
        <v>3:45:00</v>
      </c>
      <c r="BA10" s="1" t="str">
        <f t="shared" si="9"/>
        <v>5:20</v>
      </c>
      <c r="BB10" s="1" t="str">
        <f t="shared" si="37"/>
        <v>5</v>
      </c>
      <c r="BC10" s="1" t="str">
        <f t="shared" si="38"/>
        <v>20</v>
      </c>
      <c r="BD10" s="2">
        <f t="shared" si="39"/>
        <v>320</v>
      </c>
      <c r="BE10" s="2">
        <f t="shared" si="40"/>
        <v>22</v>
      </c>
      <c r="BF10" s="2">
        <f t="shared" si="41"/>
        <v>320</v>
      </c>
      <c r="BG10" s="1" t="str">
        <f t="shared" si="10"/>
        <v>5:48</v>
      </c>
      <c r="BH10" s="1" t="str">
        <f t="shared" si="42"/>
        <v>5</v>
      </c>
      <c r="BI10" s="1" t="str">
        <f t="shared" si="43"/>
        <v>48</v>
      </c>
      <c r="BJ10" s="2">
        <f t="shared" si="44"/>
        <v>348</v>
      </c>
      <c r="BK10" s="2">
        <f t="shared" si="45"/>
        <v>22</v>
      </c>
      <c r="BN10" s="24" t="s">
        <v>241</v>
      </c>
      <c r="BO10" s="5" t="str">
        <f>TEXT(BP10,"00")&amp;":"&amp;TEXT(BQ10,"00")</f>
        <v>04:25</v>
      </c>
      <c r="BP10" s="19">
        <f>QUOTIENT(BR10,$E$2)</f>
        <v>4</v>
      </c>
      <c r="BQ10" s="19">
        <f>MOD(BR10,$E$2)</f>
        <v>24.909523809523819</v>
      </c>
      <c r="BR10" s="2">
        <f>AVERAGE(BR9,BR11)</f>
        <v>264.90952380952382</v>
      </c>
      <c r="BT10" s="20"/>
      <c r="BU10" s="20">
        <v>1.60934</v>
      </c>
      <c r="BV10" s="92">
        <f t="shared" ref="BV10:BV16" si="46">ROUND(1/BR10*60*1000,-1)</f>
        <v>230</v>
      </c>
      <c r="BW10" s="96">
        <f t="shared" ref="BW10:BW16" si="47">3600/BR10</f>
        <v>13.589545397350397</v>
      </c>
      <c r="BX10" s="77">
        <f>TIME(,,BR10*BU10)</f>
        <v>4.9305555555555552E-3</v>
      </c>
      <c r="BY10" s="40" t="s">
        <v>241</v>
      </c>
    </row>
    <row r="11" spans="2:77" x14ac:dyDescent="0.25">
      <c r="B11" s="13" t="s">
        <v>39</v>
      </c>
      <c r="C11" t="s">
        <v>40</v>
      </c>
      <c r="D11" s="3" t="s">
        <v>109</v>
      </c>
      <c r="E11" s="3" t="s">
        <v>119</v>
      </c>
      <c r="F11" t="s">
        <v>41</v>
      </c>
      <c r="G11" s="3" t="s">
        <v>134</v>
      </c>
      <c r="H11" s="3" t="s">
        <v>149</v>
      </c>
      <c r="I11" t="s">
        <v>42</v>
      </c>
      <c r="J11" t="s">
        <v>43</v>
      </c>
      <c r="K11" s="3" t="s">
        <v>158</v>
      </c>
      <c r="L11" s="3" t="s">
        <v>32</v>
      </c>
      <c r="M11" t="s">
        <v>44</v>
      </c>
      <c r="N11" s="3" t="s">
        <v>177</v>
      </c>
      <c r="O11" s="3" t="s">
        <v>121</v>
      </c>
      <c r="P11" s="15" t="s">
        <v>45</v>
      </c>
      <c r="Q11" s="1" t="str">
        <f t="shared" si="0"/>
        <v>4:40</v>
      </c>
      <c r="R11" s="1" t="str">
        <f t="shared" si="11"/>
        <v>4</v>
      </c>
      <c r="S11" s="1" t="str">
        <f t="shared" si="12"/>
        <v>40</v>
      </c>
      <c r="T11" s="2">
        <f t="shared" si="13"/>
        <v>280</v>
      </c>
      <c r="U11" s="2">
        <f t="shared" si="14"/>
        <v>18</v>
      </c>
      <c r="V11" s="1" t="str">
        <f t="shared" si="15"/>
        <v>25:15</v>
      </c>
      <c r="W11" s="1" t="str">
        <f t="shared" si="16"/>
        <v>25</v>
      </c>
      <c r="X11" s="1" t="str">
        <f t="shared" si="17"/>
        <v>15</v>
      </c>
      <c r="Y11" s="2">
        <f t="shared" si="18"/>
        <v>1515</v>
      </c>
      <c r="Z11" s="2">
        <f>IF(AND(Y11&gt;$BR$8,SUM($Z$5:Z10)=0),1,0)</f>
        <v>0</v>
      </c>
      <c r="AA11" s="2">
        <f t="shared" si="19"/>
        <v>105</v>
      </c>
      <c r="AB11" s="2">
        <f t="shared" si="1"/>
        <v>0</v>
      </c>
      <c r="AC11" s="18">
        <f t="shared" si="2"/>
        <v>0</v>
      </c>
      <c r="AD11" s="1" t="str">
        <f t="shared" si="3"/>
        <v>5:01</v>
      </c>
      <c r="AE11" s="1" t="str">
        <f t="shared" si="20"/>
        <v>5</v>
      </c>
      <c r="AF11" s="1" t="str">
        <f t="shared" si="21"/>
        <v>01</v>
      </c>
      <c r="AG11" s="2">
        <f t="shared" si="22"/>
        <v>301</v>
      </c>
      <c r="AH11" s="2">
        <f t="shared" si="23"/>
        <v>22</v>
      </c>
      <c r="AI11" s="1" t="str">
        <f t="shared" si="24"/>
        <v>52:30</v>
      </c>
      <c r="AJ11" s="1" t="str">
        <f t="shared" si="4"/>
        <v>5:14</v>
      </c>
      <c r="AK11" s="1" t="str">
        <f t="shared" si="25"/>
        <v>5</v>
      </c>
      <c r="AL11" s="1" t="str">
        <f t="shared" si="26"/>
        <v>14</v>
      </c>
      <c r="AM11" s="2">
        <f t="shared" si="27"/>
        <v>314</v>
      </c>
      <c r="AN11" s="2">
        <f t="shared" si="28"/>
        <v>22</v>
      </c>
      <c r="AO11" s="1" t="str">
        <f t="shared" si="5"/>
        <v>5:29</v>
      </c>
      <c r="AP11" s="1" t="str">
        <f t="shared" si="29"/>
        <v>5</v>
      </c>
      <c r="AQ11" s="1" t="str">
        <f t="shared" si="30"/>
        <v>29</v>
      </c>
      <c r="AR11" s="2">
        <f t="shared" si="6"/>
        <v>329</v>
      </c>
      <c r="AS11" s="2">
        <f t="shared" si="31"/>
        <v>22</v>
      </c>
      <c r="AT11" s="1" t="str">
        <f t="shared" si="7"/>
        <v>1:55:00</v>
      </c>
      <c r="AU11" s="1" t="str">
        <f t="shared" si="8"/>
        <v>5:26</v>
      </c>
      <c r="AV11" s="1" t="str">
        <f t="shared" si="32"/>
        <v>5</v>
      </c>
      <c r="AW11" s="1" t="str">
        <f t="shared" si="33"/>
        <v>26</v>
      </c>
      <c r="AX11" s="2">
        <f t="shared" si="34"/>
        <v>326</v>
      </c>
      <c r="AY11" s="2">
        <f t="shared" si="35"/>
        <v>28</v>
      </c>
      <c r="AZ11" s="1" t="str">
        <f t="shared" si="36"/>
        <v>4:00:00</v>
      </c>
      <c r="BA11" s="1" t="str">
        <f t="shared" si="9"/>
        <v>5:42</v>
      </c>
      <c r="BB11" s="1" t="str">
        <f t="shared" si="37"/>
        <v>5</v>
      </c>
      <c r="BC11" s="1" t="str">
        <f t="shared" si="38"/>
        <v>42</v>
      </c>
      <c r="BD11" s="2">
        <f t="shared" si="39"/>
        <v>342</v>
      </c>
      <c r="BE11" s="2">
        <f t="shared" si="40"/>
        <v>22</v>
      </c>
      <c r="BF11" s="2">
        <f t="shared" si="41"/>
        <v>342</v>
      </c>
      <c r="BG11" s="1" t="str">
        <f t="shared" si="10"/>
        <v>6:10</v>
      </c>
      <c r="BH11" s="1" t="str">
        <f t="shared" si="42"/>
        <v>6</v>
      </c>
      <c r="BI11" s="1" t="str">
        <f t="shared" si="43"/>
        <v>10</v>
      </c>
      <c r="BJ11" s="2">
        <f t="shared" si="44"/>
        <v>370</v>
      </c>
      <c r="BK11" s="2">
        <f t="shared" si="45"/>
        <v>21</v>
      </c>
      <c r="BN11" s="24" t="s">
        <v>210</v>
      </c>
      <c r="BO11" s="5" t="str">
        <f>TEXT(BP11,"00")&amp;":"&amp;TEXT(BQ11,"00")</f>
        <v>04:37</v>
      </c>
      <c r="BP11" s="19">
        <f>QUOTIENT(BR11,$E$2)</f>
        <v>4</v>
      </c>
      <c r="BQ11" s="19">
        <f>MOD(BR11,$E$2)</f>
        <v>36.780952380952385</v>
      </c>
      <c r="BR11" s="2">
        <f>BS11+BT11</f>
        <v>276.78095238095239</v>
      </c>
      <c r="BS11" cm="1">
        <f t="array" ref="BS11">INDEX($AG$6:$AG$20,MATCH(1,$Z$6:$Z$20,0)-1)</f>
        <v>264</v>
      </c>
      <c r="BT11" s="20">
        <f>SUMPRODUCT($AH$6:$AH$19,$AC$6:$AC$19)</f>
        <v>12.780952380952382</v>
      </c>
      <c r="BU11" s="20">
        <v>5</v>
      </c>
      <c r="BV11" s="92">
        <f t="shared" si="46"/>
        <v>220</v>
      </c>
      <c r="BW11" s="96">
        <f t="shared" si="47"/>
        <v>13.006675383662515</v>
      </c>
      <c r="BX11" s="77">
        <f t="shared" ref="BX11:BX12" si="48">TIME(,,BR11*BU11)</f>
        <v>1.6006944444444445E-2</v>
      </c>
      <c r="BY11" s="41" t="s">
        <v>195</v>
      </c>
    </row>
    <row r="12" spans="2:77" x14ac:dyDescent="0.25">
      <c r="B12" s="13" t="s">
        <v>46</v>
      </c>
      <c r="C12" t="s">
        <v>47</v>
      </c>
      <c r="D12" s="3" t="s">
        <v>110</v>
      </c>
      <c r="E12" s="3" t="s">
        <v>120</v>
      </c>
      <c r="F12" t="s">
        <v>48</v>
      </c>
      <c r="G12" s="3" t="s">
        <v>135</v>
      </c>
      <c r="H12" s="3" t="s">
        <v>59</v>
      </c>
      <c r="I12" t="s">
        <v>49</v>
      </c>
      <c r="J12" t="s">
        <v>50</v>
      </c>
      <c r="K12" s="3" t="s">
        <v>159</v>
      </c>
      <c r="L12" s="3" t="s">
        <v>65</v>
      </c>
      <c r="M12" t="s">
        <v>51</v>
      </c>
      <c r="N12" s="3" t="s">
        <v>178</v>
      </c>
      <c r="O12" s="3" t="s">
        <v>192</v>
      </c>
      <c r="P12" s="15" t="s">
        <v>52</v>
      </c>
      <c r="Q12" s="1" t="str">
        <f t="shared" si="0"/>
        <v>4:58</v>
      </c>
      <c r="R12" s="1" t="str">
        <f t="shared" si="11"/>
        <v>4</v>
      </c>
      <c r="S12" s="1" t="str">
        <f t="shared" si="12"/>
        <v>58</v>
      </c>
      <c r="T12" s="2">
        <f t="shared" si="13"/>
        <v>298</v>
      </c>
      <c r="U12" s="2">
        <f t="shared" si="14"/>
        <v>19</v>
      </c>
      <c r="V12" s="1" t="str">
        <f t="shared" si="15"/>
        <v>27:00</v>
      </c>
      <c r="W12" s="1" t="str">
        <f t="shared" si="16"/>
        <v>27</v>
      </c>
      <c r="X12" s="1" t="str">
        <f t="shared" si="17"/>
        <v>00</v>
      </c>
      <c r="Y12" s="2">
        <f t="shared" si="18"/>
        <v>1620</v>
      </c>
      <c r="Z12" s="2">
        <f>IF(AND(Y12&gt;$BR$8,SUM($Z$5:Z11)=0),1,0)</f>
        <v>0</v>
      </c>
      <c r="AA12" s="2">
        <f t="shared" si="19"/>
        <v>90</v>
      </c>
      <c r="AB12" s="2">
        <f t="shared" si="1"/>
        <v>0</v>
      </c>
      <c r="AC12" s="18">
        <f t="shared" si="2"/>
        <v>0</v>
      </c>
      <c r="AD12" s="1" t="str">
        <f t="shared" si="3"/>
        <v>5:23</v>
      </c>
      <c r="AE12" s="1" t="str">
        <f t="shared" si="20"/>
        <v>5</v>
      </c>
      <c r="AF12" s="1" t="str">
        <f t="shared" si="21"/>
        <v>23</v>
      </c>
      <c r="AG12" s="2">
        <f t="shared" si="22"/>
        <v>323</v>
      </c>
      <c r="AH12" s="2">
        <f t="shared" si="23"/>
        <v>19</v>
      </c>
      <c r="AI12" s="1" t="str">
        <f t="shared" si="24"/>
        <v>55:50</v>
      </c>
      <c r="AJ12" s="1" t="str">
        <f t="shared" si="4"/>
        <v>5:36</v>
      </c>
      <c r="AK12" s="1" t="str">
        <f t="shared" si="25"/>
        <v>5</v>
      </c>
      <c r="AL12" s="1" t="str">
        <f t="shared" si="26"/>
        <v>36</v>
      </c>
      <c r="AM12" s="2">
        <f t="shared" si="27"/>
        <v>336</v>
      </c>
      <c r="AN12" s="2">
        <f t="shared" si="28"/>
        <v>18</v>
      </c>
      <c r="AO12" s="1" t="str">
        <f t="shared" si="5"/>
        <v>5:51</v>
      </c>
      <c r="AP12" s="1" t="str">
        <f t="shared" si="29"/>
        <v>5</v>
      </c>
      <c r="AQ12" s="1" t="str">
        <f t="shared" si="30"/>
        <v>51</v>
      </c>
      <c r="AR12" s="2">
        <f t="shared" si="6"/>
        <v>351</v>
      </c>
      <c r="AS12" s="2">
        <f t="shared" si="31"/>
        <v>19</v>
      </c>
      <c r="AT12" s="1" t="str">
        <f t="shared" si="7"/>
        <v>2:05:00</v>
      </c>
      <c r="AU12" s="1" t="str">
        <f t="shared" si="8"/>
        <v>5:54</v>
      </c>
      <c r="AV12" s="1" t="str">
        <f t="shared" si="32"/>
        <v>5</v>
      </c>
      <c r="AW12" s="1" t="str">
        <f t="shared" si="33"/>
        <v>54</v>
      </c>
      <c r="AX12" s="2">
        <f t="shared" si="34"/>
        <v>354</v>
      </c>
      <c r="AY12" s="2">
        <f t="shared" si="35"/>
        <v>16</v>
      </c>
      <c r="AZ12" s="1" t="str">
        <f t="shared" si="36"/>
        <v>4:15:00</v>
      </c>
      <c r="BA12" s="1" t="str">
        <f t="shared" si="9"/>
        <v>6:04</v>
      </c>
      <c r="BB12" s="1" t="str">
        <f t="shared" si="37"/>
        <v>6</v>
      </c>
      <c r="BC12" s="1" t="str">
        <f t="shared" si="38"/>
        <v>04</v>
      </c>
      <c r="BD12" s="2">
        <f t="shared" si="39"/>
        <v>364</v>
      </c>
      <c r="BE12" s="2">
        <f t="shared" si="40"/>
        <v>18</v>
      </c>
      <c r="BF12" s="2">
        <f t="shared" si="41"/>
        <v>364</v>
      </c>
      <c r="BG12" s="1" t="str">
        <f t="shared" si="10"/>
        <v>6:31</v>
      </c>
      <c r="BH12" s="1" t="str">
        <f t="shared" si="42"/>
        <v>6</v>
      </c>
      <c r="BI12" s="1" t="str">
        <f t="shared" si="43"/>
        <v>31</v>
      </c>
      <c r="BJ12" s="2">
        <f t="shared" si="44"/>
        <v>391</v>
      </c>
      <c r="BK12" s="2">
        <f t="shared" si="45"/>
        <v>19</v>
      </c>
      <c r="BN12" s="24" t="s">
        <v>211</v>
      </c>
      <c r="BO12" s="5" t="str">
        <f t="shared" ref="BO12:BO16" si="49">TEXT(BP12,"00")&amp;":"&amp;TEXT(BQ12,"00")</f>
        <v>04:46</v>
      </c>
      <c r="BP12" s="19">
        <f t="shared" ref="BP12:BP16" si="50">QUOTIENT(BR12,$E$2)</f>
        <v>4</v>
      </c>
      <c r="BQ12" s="19">
        <f t="shared" ref="BQ12:BQ16" si="51">MOD(BR12,$E$2)</f>
        <v>45.780952380952385</v>
      </c>
      <c r="BR12" s="2">
        <f t="shared" ref="BR12:BR16" si="52">BS12+BT12</f>
        <v>285.78095238095239</v>
      </c>
      <c r="BS12" cm="1">
        <f t="array" ref="BS12">INDEX($AM$6:$AM$20,MATCH(1,$Z$6:$Z$20,0)-1)</f>
        <v>273</v>
      </c>
      <c r="BT12" s="20">
        <f>SUMPRODUCT($AN$6:$AN$19,$AC$6:$AC$19)</f>
        <v>12.780952380952382</v>
      </c>
      <c r="BU12" s="20">
        <v>10</v>
      </c>
      <c r="BV12" s="92">
        <f t="shared" si="46"/>
        <v>210</v>
      </c>
      <c r="BW12" s="96">
        <f t="shared" si="47"/>
        <v>12.597060685839971</v>
      </c>
      <c r="BX12" s="77">
        <f t="shared" si="48"/>
        <v>3.3067129629629627E-2</v>
      </c>
      <c r="BY12" s="42" t="s">
        <v>198</v>
      </c>
    </row>
    <row r="13" spans="2:77" x14ac:dyDescent="0.25">
      <c r="B13" s="13" t="s">
        <v>53</v>
      </c>
      <c r="C13" t="s">
        <v>54</v>
      </c>
      <c r="D13" s="3" t="s">
        <v>111</v>
      </c>
      <c r="E13" s="3" t="s">
        <v>121</v>
      </c>
      <c r="F13" t="s">
        <v>55</v>
      </c>
      <c r="G13" s="3" t="s">
        <v>136</v>
      </c>
      <c r="H13" s="3" t="s">
        <v>65</v>
      </c>
      <c r="I13" t="s">
        <v>45</v>
      </c>
      <c r="J13" t="s">
        <v>56</v>
      </c>
      <c r="K13" s="3" t="s">
        <v>160</v>
      </c>
      <c r="L13" s="3" t="s">
        <v>45</v>
      </c>
      <c r="M13" t="s">
        <v>57</v>
      </c>
      <c r="N13" s="3" t="s">
        <v>179</v>
      </c>
      <c r="O13" s="3" t="s">
        <v>123</v>
      </c>
      <c r="P13" s="15" t="s">
        <v>58</v>
      </c>
      <c r="Q13" s="1" t="str">
        <f t="shared" si="0"/>
        <v>5:17</v>
      </c>
      <c r="R13" s="1" t="str">
        <f t="shared" si="11"/>
        <v>5</v>
      </c>
      <c r="S13" s="1" t="str">
        <f t="shared" si="12"/>
        <v>17</v>
      </c>
      <c r="T13" s="2">
        <f t="shared" si="13"/>
        <v>317</v>
      </c>
      <c r="U13" s="2">
        <f t="shared" si="14"/>
        <v>19</v>
      </c>
      <c r="V13" s="1" t="str">
        <f t="shared" si="15"/>
        <v>28:30</v>
      </c>
      <c r="W13" s="1" t="str">
        <f t="shared" si="16"/>
        <v>28</v>
      </c>
      <c r="X13" s="1" t="str">
        <f t="shared" si="17"/>
        <v>30</v>
      </c>
      <c r="Y13" s="2">
        <f t="shared" si="18"/>
        <v>1710</v>
      </c>
      <c r="Z13" s="2">
        <f>IF(AND(Y13&gt;$BR$8,SUM($Z$5:Z12)=0),1,0)</f>
        <v>0</v>
      </c>
      <c r="AA13" s="2">
        <f t="shared" si="19"/>
        <v>90</v>
      </c>
      <c r="AB13" s="2">
        <f t="shared" si="1"/>
        <v>0</v>
      </c>
      <c r="AC13" s="18">
        <f t="shared" si="2"/>
        <v>0</v>
      </c>
      <c r="AD13" s="1" t="str">
        <f t="shared" si="3"/>
        <v>5:42</v>
      </c>
      <c r="AE13" s="1" t="str">
        <f t="shared" si="20"/>
        <v>5</v>
      </c>
      <c r="AF13" s="1" t="str">
        <f t="shared" si="21"/>
        <v>42</v>
      </c>
      <c r="AG13" s="2">
        <f t="shared" si="22"/>
        <v>342</v>
      </c>
      <c r="AH13" s="2">
        <f t="shared" si="23"/>
        <v>18</v>
      </c>
      <c r="AI13" s="1" t="str">
        <f t="shared" si="24"/>
        <v>59:00</v>
      </c>
      <c r="AJ13" s="1" t="str">
        <f t="shared" si="4"/>
        <v>5:54</v>
      </c>
      <c r="AK13" s="1" t="str">
        <f t="shared" si="25"/>
        <v>5</v>
      </c>
      <c r="AL13" s="1" t="str">
        <f t="shared" si="26"/>
        <v>54</v>
      </c>
      <c r="AM13" s="2">
        <f t="shared" si="27"/>
        <v>354</v>
      </c>
      <c r="AN13" s="2">
        <f t="shared" si="28"/>
        <v>19</v>
      </c>
      <c r="AO13" s="1" t="str">
        <f t="shared" si="5"/>
        <v>6:10</v>
      </c>
      <c r="AP13" s="1" t="str">
        <f t="shared" si="29"/>
        <v>6</v>
      </c>
      <c r="AQ13" s="1" t="str">
        <f t="shared" si="30"/>
        <v>10</v>
      </c>
      <c r="AR13" s="2">
        <f t="shared" si="6"/>
        <v>370</v>
      </c>
      <c r="AS13" s="2">
        <f t="shared" si="31"/>
        <v>21</v>
      </c>
      <c r="AT13" s="1" t="str">
        <f t="shared" si="7"/>
        <v>2:10:00</v>
      </c>
      <c r="AU13" s="1" t="str">
        <f t="shared" si="8"/>
        <v>6:10</v>
      </c>
      <c r="AV13" s="1" t="str">
        <f t="shared" si="32"/>
        <v>6</v>
      </c>
      <c r="AW13" s="1" t="str">
        <f t="shared" si="33"/>
        <v>10</v>
      </c>
      <c r="AX13" s="2">
        <f t="shared" si="34"/>
        <v>370</v>
      </c>
      <c r="AY13" s="2">
        <f t="shared" si="35"/>
        <v>28</v>
      </c>
      <c r="AZ13" s="1" t="str">
        <f t="shared" si="36"/>
        <v>4:30:00</v>
      </c>
      <c r="BA13" s="1" t="str">
        <f t="shared" si="9"/>
        <v>6:22</v>
      </c>
      <c r="BB13" s="1" t="str">
        <f t="shared" si="37"/>
        <v>6</v>
      </c>
      <c r="BC13" s="1" t="str">
        <f t="shared" si="38"/>
        <v>22</v>
      </c>
      <c r="BD13" s="2">
        <f t="shared" si="39"/>
        <v>382</v>
      </c>
      <c r="BE13" s="2">
        <f t="shared" si="40"/>
        <v>22</v>
      </c>
      <c r="BF13" s="2">
        <f t="shared" si="41"/>
        <v>382</v>
      </c>
      <c r="BG13" s="1" t="str">
        <f t="shared" si="10"/>
        <v>6:50</v>
      </c>
      <c r="BH13" s="1" t="str">
        <f t="shared" si="42"/>
        <v>6</v>
      </c>
      <c r="BI13" s="1" t="str">
        <f t="shared" si="43"/>
        <v>50</v>
      </c>
      <c r="BJ13" s="2">
        <f t="shared" si="44"/>
        <v>410</v>
      </c>
      <c r="BK13" s="2">
        <f t="shared" si="45"/>
        <v>22</v>
      </c>
      <c r="BN13" s="24" t="s">
        <v>202</v>
      </c>
      <c r="BO13" s="5" t="str">
        <f t="shared" si="49"/>
        <v>04:59</v>
      </c>
      <c r="BP13" s="19">
        <f t="shared" si="50"/>
        <v>4</v>
      </c>
      <c r="BQ13" s="19">
        <f t="shared" si="51"/>
        <v>58.780952380952385</v>
      </c>
      <c r="BR13" s="2">
        <f t="shared" si="52"/>
        <v>298.78095238095239</v>
      </c>
      <c r="BS13" cm="1">
        <f t="array" ref="BS13">INDEX($AR$6:$AR$20,MATCH(1,$Z$6:$Z$20,0)-1)</f>
        <v>286</v>
      </c>
      <c r="BT13" s="20">
        <f>SUMPRODUCT($AS$6:$AS$19,$AC$6:$AC$19)</f>
        <v>12.780952380952382</v>
      </c>
      <c r="BU13" s="20"/>
      <c r="BV13" s="92">
        <f t="shared" si="46"/>
        <v>200</v>
      </c>
      <c r="BW13" s="96">
        <f t="shared" si="47"/>
        <v>12.048960856814993</v>
      </c>
      <c r="BX13" s="76"/>
      <c r="BY13" s="43" t="s">
        <v>202</v>
      </c>
    </row>
    <row r="14" spans="2:77" x14ac:dyDescent="0.25">
      <c r="B14" s="13" t="s">
        <v>59</v>
      </c>
      <c r="C14" t="s">
        <v>60</v>
      </c>
      <c r="D14" s="3" t="s">
        <v>112</v>
      </c>
      <c r="E14" s="3" t="s">
        <v>122</v>
      </c>
      <c r="F14" t="s">
        <v>61</v>
      </c>
      <c r="G14" s="3" t="s">
        <v>137</v>
      </c>
      <c r="H14" s="3" t="s">
        <v>71</v>
      </c>
      <c r="I14" t="s">
        <v>52</v>
      </c>
      <c r="J14" t="s">
        <v>62</v>
      </c>
      <c r="K14" s="3" t="s">
        <v>161</v>
      </c>
      <c r="L14" s="3" t="s">
        <v>124</v>
      </c>
      <c r="M14" t="s">
        <v>63</v>
      </c>
      <c r="N14" s="3" t="s">
        <v>180</v>
      </c>
      <c r="O14" s="3" t="s">
        <v>193</v>
      </c>
      <c r="P14" s="15" t="s">
        <v>64</v>
      </c>
      <c r="Q14" s="1" t="str">
        <f t="shared" si="0"/>
        <v>5:36</v>
      </c>
      <c r="R14" s="1" t="str">
        <f t="shared" si="11"/>
        <v>5</v>
      </c>
      <c r="S14" s="1" t="str">
        <f t="shared" si="12"/>
        <v>36</v>
      </c>
      <c r="T14" s="2">
        <f t="shared" si="13"/>
        <v>336</v>
      </c>
      <c r="U14" s="2">
        <f t="shared" si="14"/>
        <v>18</v>
      </c>
      <c r="V14" s="1" t="str">
        <f t="shared" si="15"/>
        <v>30:00</v>
      </c>
      <c r="W14" s="1" t="str">
        <f t="shared" si="16"/>
        <v>30</v>
      </c>
      <c r="X14" s="1" t="str">
        <f t="shared" si="17"/>
        <v>00</v>
      </c>
      <c r="Y14" s="2">
        <f t="shared" si="18"/>
        <v>1800</v>
      </c>
      <c r="Z14" s="2">
        <f>IF(AND(Y14&gt;$BR$8,SUM($Z$5:Z13)=0),1,0)</f>
        <v>0</v>
      </c>
      <c r="AA14" s="2">
        <f t="shared" si="19"/>
        <v>105</v>
      </c>
      <c r="AB14" s="2">
        <f t="shared" si="1"/>
        <v>0</v>
      </c>
      <c r="AC14" s="18">
        <f t="shared" si="2"/>
        <v>0</v>
      </c>
      <c r="AD14" s="1" t="str">
        <f t="shared" si="3"/>
        <v>6:00</v>
      </c>
      <c r="AE14" s="1" t="str">
        <f t="shared" si="20"/>
        <v>6</v>
      </c>
      <c r="AF14" s="1" t="str">
        <f t="shared" si="21"/>
        <v>00</v>
      </c>
      <c r="AG14" s="2">
        <f t="shared" si="22"/>
        <v>360</v>
      </c>
      <c r="AH14" s="2">
        <f t="shared" si="23"/>
        <v>22</v>
      </c>
      <c r="AI14" s="1" t="str">
        <f t="shared" si="24"/>
        <v>62:30</v>
      </c>
      <c r="AJ14" s="1" t="str">
        <f t="shared" si="4"/>
        <v>6:13</v>
      </c>
      <c r="AK14" s="1" t="str">
        <f t="shared" si="25"/>
        <v>6</v>
      </c>
      <c r="AL14" s="1" t="str">
        <f t="shared" si="26"/>
        <v>13</v>
      </c>
      <c r="AM14" s="2">
        <f t="shared" si="27"/>
        <v>373</v>
      </c>
      <c r="AN14" s="2">
        <f t="shared" si="28"/>
        <v>22</v>
      </c>
      <c r="AO14" s="1" t="str">
        <f t="shared" si="5"/>
        <v>6:31</v>
      </c>
      <c r="AP14" s="1" t="str">
        <f t="shared" si="29"/>
        <v>6</v>
      </c>
      <c r="AQ14" s="1" t="str">
        <f t="shared" si="30"/>
        <v>31</v>
      </c>
      <c r="AR14" s="2">
        <f t="shared" si="6"/>
        <v>391</v>
      </c>
      <c r="AS14" s="2">
        <f t="shared" si="31"/>
        <v>19</v>
      </c>
      <c r="AT14" s="1" t="str">
        <f t="shared" si="7"/>
        <v>2:20:00</v>
      </c>
      <c r="AU14" s="1" t="str">
        <f t="shared" si="8"/>
        <v>6:38</v>
      </c>
      <c r="AV14" s="1" t="str">
        <f t="shared" si="32"/>
        <v>6</v>
      </c>
      <c r="AW14" s="1" t="str">
        <f t="shared" si="33"/>
        <v>38</v>
      </c>
      <c r="AX14" s="2">
        <f t="shared" si="34"/>
        <v>398</v>
      </c>
      <c r="AY14" s="2">
        <f t="shared" si="35"/>
        <v>15</v>
      </c>
      <c r="AZ14" s="1" t="str">
        <f t="shared" si="36"/>
        <v>4:45:00</v>
      </c>
      <c r="BA14" s="1" t="str">
        <f t="shared" si="9"/>
        <v>6:44</v>
      </c>
      <c r="BB14" s="1" t="str">
        <f t="shared" si="37"/>
        <v>6</v>
      </c>
      <c r="BC14" s="1" t="str">
        <f t="shared" si="38"/>
        <v>44</v>
      </c>
      <c r="BD14" s="2">
        <f t="shared" si="39"/>
        <v>404</v>
      </c>
      <c r="BE14" s="2">
        <f t="shared" si="40"/>
        <v>22</v>
      </c>
      <c r="BF14" s="2">
        <f t="shared" si="41"/>
        <v>404</v>
      </c>
      <c r="BG14" s="1" t="str">
        <f t="shared" si="10"/>
        <v>7:12</v>
      </c>
      <c r="BH14" s="1" t="str">
        <f t="shared" si="42"/>
        <v>7</v>
      </c>
      <c r="BI14" s="1" t="str">
        <f t="shared" si="43"/>
        <v>12</v>
      </c>
      <c r="BJ14" s="2">
        <f t="shared" si="44"/>
        <v>432</v>
      </c>
      <c r="BK14" s="2">
        <f t="shared" si="45"/>
        <v>22</v>
      </c>
      <c r="BN14" s="24" t="s">
        <v>212</v>
      </c>
      <c r="BO14" s="5" t="str">
        <f t="shared" si="49"/>
        <v>04:59</v>
      </c>
      <c r="BP14" s="19">
        <f t="shared" si="50"/>
        <v>4</v>
      </c>
      <c r="BQ14" s="19">
        <f t="shared" si="51"/>
        <v>59.266666666666652</v>
      </c>
      <c r="BR14" s="2">
        <f t="shared" si="52"/>
        <v>299.26666666666665</v>
      </c>
      <c r="BS14" cm="1">
        <f t="array" ref="BS14">INDEX($AX$6:$AX$20,MATCH(1,$Z$6:$Z$20,0)-1)</f>
        <v>283</v>
      </c>
      <c r="BT14" s="20">
        <f>SUMPRODUCT($AY$6:$AY$19,$AC$6:$AC$19)</f>
        <v>16.266666666666669</v>
      </c>
      <c r="BU14" s="20">
        <v>21.1</v>
      </c>
      <c r="BV14" s="92">
        <f t="shared" si="46"/>
        <v>200</v>
      </c>
      <c r="BW14" s="96">
        <f t="shared" si="47"/>
        <v>12.02940521274226</v>
      </c>
      <c r="BX14" s="77">
        <f>TIME(,,BR14*BU14)</f>
        <v>7.3078703703703701E-2</v>
      </c>
      <c r="BY14" t="s">
        <v>199</v>
      </c>
    </row>
    <row r="15" spans="2:77" x14ac:dyDescent="0.25">
      <c r="B15" s="13" t="s">
        <v>65</v>
      </c>
      <c r="C15" t="s">
        <v>66</v>
      </c>
      <c r="D15" s="3" t="s">
        <v>113</v>
      </c>
      <c r="E15" s="3" t="s">
        <v>123</v>
      </c>
      <c r="F15" t="s">
        <v>67</v>
      </c>
      <c r="G15" s="3" t="s">
        <v>138</v>
      </c>
      <c r="H15" s="3" t="s">
        <v>150</v>
      </c>
      <c r="I15" t="s">
        <v>58</v>
      </c>
      <c r="J15" t="s">
        <v>68</v>
      </c>
      <c r="K15" s="3" t="s">
        <v>162</v>
      </c>
      <c r="L15" s="3" t="s">
        <v>151</v>
      </c>
      <c r="M15" t="s">
        <v>69</v>
      </c>
      <c r="N15" s="3" t="s">
        <v>181</v>
      </c>
      <c r="O15" s="3" t="s">
        <v>194</v>
      </c>
      <c r="P15" s="15" t="s">
        <v>70</v>
      </c>
      <c r="Q15" s="21" t="str">
        <f t="shared" si="0"/>
        <v>5:54</v>
      </c>
      <c r="R15" s="21" t="str">
        <f t="shared" si="11"/>
        <v>5</v>
      </c>
      <c r="S15" s="21" t="str">
        <f t="shared" si="12"/>
        <v>54</v>
      </c>
      <c r="T15" s="22">
        <f t="shared" si="13"/>
        <v>354</v>
      </c>
      <c r="U15" s="22">
        <f t="shared" si="14"/>
        <v>19</v>
      </c>
      <c r="V15" s="21" t="str">
        <f t="shared" si="15"/>
        <v>31:45</v>
      </c>
      <c r="W15" s="21" t="str">
        <f t="shared" si="16"/>
        <v>31</v>
      </c>
      <c r="X15" s="21" t="str">
        <f t="shared" si="17"/>
        <v>45</v>
      </c>
      <c r="Y15" s="22">
        <f t="shared" si="18"/>
        <v>1905</v>
      </c>
      <c r="Z15" s="22">
        <f>IF(AND(Y15&gt;$BR$8,SUM($Z$5:Z14)=0),1,0)</f>
        <v>0</v>
      </c>
      <c r="AA15" s="22">
        <f t="shared" si="19"/>
        <v>75</v>
      </c>
      <c r="AB15" s="22">
        <f t="shared" si="1"/>
        <v>0</v>
      </c>
      <c r="AC15" s="23">
        <f t="shared" si="2"/>
        <v>0</v>
      </c>
      <c r="AD15" s="21" t="str">
        <f t="shared" si="3"/>
        <v>6:22</v>
      </c>
      <c r="AE15" s="21" t="str">
        <f t="shared" si="20"/>
        <v>6</v>
      </c>
      <c r="AF15" s="21" t="str">
        <f t="shared" si="21"/>
        <v>22</v>
      </c>
      <c r="AG15" s="22">
        <f t="shared" si="22"/>
        <v>382</v>
      </c>
      <c r="AH15" s="22">
        <f t="shared" si="23"/>
        <v>16</v>
      </c>
      <c r="AI15" s="21" t="str">
        <f t="shared" si="24"/>
        <v>66:00</v>
      </c>
      <c r="AJ15" s="21" t="str">
        <f t="shared" si="4"/>
        <v>6:35</v>
      </c>
      <c r="AK15" s="21" t="str">
        <f t="shared" si="25"/>
        <v>6</v>
      </c>
      <c r="AL15" s="21" t="str">
        <f t="shared" si="26"/>
        <v>35</v>
      </c>
      <c r="AM15" s="22">
        <f t="shared" si="27"/>
        <v>395</v>
      </c>
      <c r="AN15" s="22">
        <f t="shared" si="28"/>
        <v>18</v>
      </c>
      <c r="AO15" s="21" t="str">
        <f t="shared" si="5"/>
        <v>6:50</v>
      </c>
      <c r="AP15" s="21" t="str">
        <f t="shared" si="29"/>
        <v>6</v>
      </c>
      <c r="AQ15" s="21" t="str">
        <f t="shared" si="30"/>
        <v>50</v>
      </c>
      <c r="AR15" s="22">
        <f t="shared" si="6"/>
        <v>410</v>
      </c>
      <c r="AS15" s="22">
        <f t="shared" si="31"/>
        <v>22</v>
      </c>
      <c r="AT15" s="21" t="str">
        <f t="shared" si="7"/>
        <v>2:25:00</v>
      </c>
      <c r="AU15" s="21" t="str">
        <f t="shared" si="8"/>
        <v>6:53</v>
      </c>
      <c r="AV15" s="21" t="str">
        <f t="shared" si="32"/>
        <v>6</v>
      </c>
      <c r="AW15" s="21" t="str">
        <f t="shared" si="33"/>
        <v>53</v>
      </c>
      <c r="AX15" s="22">
        <f t="shared" si="34"/>
        <v>413</v>
      </c>
      <c r="AY15" s="22">
        <f t="shared" si="35"/>
        <v>25</v>
      </c>
      <c r="AZ15" s="21" t="str">
        <f t="shared" si="36"/>
        <v>5:00:00</v>
      </c>
      <c r="BA15" s="21" t="str">
        <f t="shared" si="9"/>
        <v>7:06</v>
      </c>
      <c r="BB15" s="21" t="str">
        <f t="shared" si="37"/>
        <v>7</v>
      </c>
      <c r="BC15" s="21" t="str">
        <f t="shared" si="38"/>
        <v>06</v>
      </c>
      <c r="BD15" s="22">
        <f t="shared" si="39"/>
        <v>426</v>
      </c>
      <c r="BE15" s="22">
        <f t="shared" si="40"/>
        <v>21</v>
      </c>
      <c r="BF15" s="22">
        <f t="shared" si="41"/>
        <v>426</v>
      </c>
      <c r="BG15" s="21" t="str">
        <f t="shared" si="10"/>
        <v>7:34</v>
      </c>
      <c r="BH15" s="21" t="str">
        <f t="shared" si="42"/>
        <v>7</v>
      </c>
      <c r="BI15" s="21" t="str">
        <f t="shared" si="43"/>
        <v>34</v>
      </c>
      <c r="BJ15" s="22">
        <f t="shared" si="44"/>
        <v>454</v>
      </c>
      <c r="BK15" s="22">
        <f t="shared" si="45"/>
        <v>21</v>
      </c>
      <c r="BN15" s="24" t="s">
        <v>213</v>
      </c>
      <c r="BO15" s="5" t="str">
        <f t="shared" si="49"/>
        <v>05:11</v>
      </c>
      <c r="BP15" s="19">
        <f t="shared" si="50"/>
        <v>5</v>
      </c>
      <c r="BQ15" s="19">
        <f t="shared" si="51"/>
        <v>10.780952380952385</v>
      </c>
      <c r="BR15" s="2">
        <f t="shared" si="52"/>
        <v>310.78095238095239</v>
      </c>
      <c r="BS15" cm="1">
        <f t="array" ref="BS15">INDEX($BD$6:$BD$20,MATCH(1,$Z$6:$Z$20,0)-1)</f>
        <v>298</v>
      </c>
      <c r="BT15" s="20">
        <f>SUMPRODUCT($BE$6:$BE$19,$AC$6:$AC$19)</f>
        <v>12.780952380952382</v>
      </c>
      <c r="BU15" s="20">
        <v>42.195</v>
      </c>
      <c r="BV15" s="92">
        <f t="shared" si="46"/>
        <v>190</v>
      </c>
      <c r="BW15" s="96">
        <f t="shared" si="47"/>
        <v>11.583721500367737</v>
      </c>
      <c r="BX15" s="77">
        <f>TIME(,,BR15*BU15)</f>
        <v>0.15177083333333333</v>
      </c>
      <c r="BY15" t="s">
        <v>200</v>
      </c>
    </row>
    <row r="16" spans="2:77" x14ac:dyDescent="0.25">
      <c r="B16" s="13" t="s">
        <v>71</v>
      </c>
      <c r="C16" t="s">
        <v>72</v>
      </c>
      <c r="D16" s="3" t="s">
        <v>114</v>
      </c>
      <c r="E16" s="3" t="s">
        <v>124</v>
      </c>
      <c r="F16" t="s">
        <v>73</v>
      </c>
      <c r="G16" s="3" t="s">
        <v>139</v>
      </c>
      <c r="H16" s="3" t="s">
        <v>151</v>
      </c>
      <c r="I16" t="s">
        <v>64</v>
      </c>
      <c r="J16" t="s">
        <v>74</v>
      </c>
      <c r="K16" s="3" t="s">
        <v>163</v>
      </c>
      <c r="L16" s="3" t="s">
        <v>170</v>
      </c>
      <c r="M16" t="s">
        <v>75</v>
      </c>
      <c r="N16" s="3" t="s">
        <v>182</v>
      </c>
      <c r="O16" s="3" t="s">
        <v>79</v>
      </c>
      <c r="P16" s="15" t="s">
        <v>76</v>
      </c>
      <c r="Q16" s="21" t="str">
        <f t="shared" si="0"/>
        <v>6:13</v>
      </c>
      <c r="R16" s="21" t="str">
        <f t="shared" si="11"/>
        <v>6</v>
      </c>
      <c r="S16" s="21" t="str">
        <f t="shared" si="12"/>
        <v>13</v>
      </c>
      <c r="T16" s="22">
        <f t="shared" si="13"/>
        <v>373</v>
      </c>
      <c r="U16" s="22">
        <f t="shared" si="14"/>
        <v>18</v>
      </c>
      <c r="V16" s="21" t="str">
        <f t="shared" si="15"/>
        <v>33:00</v>
      </c>
      <c r="W16" s="21" t="str">
        <f t="shared" si="16"/>
        <v>33</v>
      </c>
      <c r="X16" s="21" t="str">
        <f t="shared" si="17"/>
        <v>00</v>
      </c>
      <c r="Y16" s="22">
        <f t="shared" si="18"/>
        <v>1980</v>
      </c>
      <c r="Z16" s="22">
        <f>IF(AND(Y16&gt;$BR$8,SUM($Z$5:Z15)=0),1,0)</f>
        <v>0</v>
      </c>
      <c r="AA16" s="22">
        <f t="shared" si="19"/>
        <v>120</v>
      </c>
      <c r="AB16" s="22">
        <f t="shared" si="1"/>
        <v>0</v>
      </c>
      <c r="AC16" s="23">
        <f t="shared" ref="AC16:AC19" si="53">AB16/AA16</f>
        <v>0</v>
      </c>
      <c r="AD16" s="21" t="str">
        <f t="shared" si="3"/>
        <v>6:38</v>
      </c>
      <c r="AE16" s="21" t="str">
        <f t="shared" si="20"/>
        <v>6</v>
      </c>
      <c r="AF16" s="21" t="str">
        <f t="shared" si="21"/>
        <v>38</v>
      </c>
      <c r="AG16" s="22">
        <f t="shared" si="22"/>
        <v>398</v>
      </c>
      <c r="AH16" s="22">
        <f t="shared" si="23"/>
        <v>21</v>
      </c>
      <c r="AI16" s="21" t="str">
        <f t="shared" si="24"/>
        <v>69:00</v>
      </c>
      <c r="AJ16" s="21" t="str">
        <f t="shared" si="4"/>
        <v>6:53</v>
      </c>
      <c r="AK16" s="21" t="str">
        <f t="shared" si="25"/>
        <v>6</v>
      </c>
      <c r="AL16" s="21" t="str">
        <f t="shared" si="26"/>
        <v>53</v>
      </c>
      <c r="AM16" s="22">
        <f t="shared" si="27"/>
        <v>413</v>
      </c>
      <c r="AN16" s="22">
        <f t="shared" si="28"/>
        <v>19</v>
      </c>
      <c r="AO16" s="21" t="str">
        <f t="shared" si="5"/>
        <v>7:12</v>
      </c>
      <c r="AP16" s="21" t="str">
        <f t="shared" si="29"/>
        <v>7</v>
      </c>
      <c r="AQ16" s="21" t="str">
        <f t="shared" si="30"/>
        <v>12</v>
      </c>
      <c r="AR16" s="22">
        <f t="shared" si="6"/>
        <v>432</v>
      </c>
      <c r="AS16" s="22">
        <f t="shared" si="31"/>
        <v>15</v>
      </c>
      <c r="AT16" s="21" t="str">
        <f t="shared" si="7"/>
        <v>2:35:00</v>
      </c>
      <c r="AU16" s="21" t="str">
        <f t="shared" si="8"/>
        <v>7:18</v>
      </c>
      <c r="AV16" s="21" t="str">
        <f t="shared" si="32"/>
        <v>7</v>
      </c>
      <c r="AW16" s="21" t="str">
        <f t="shared" si="33"/>
        <v>18</v>
      </c>
      <c r="AX16" s="22">
        <f t="shared" si="34"/>
        <v>438</v>
      </c>
      <c r="AY16" s="22">
        <f t="shared" si="35"/>
        <v>16</v>
      </c>
      <c r="AZ16" s="21" t="str">
        <f t="shared" si="36"/>
        <v>5:15:00</v>
      </c>
      <c r="BA16" s="21" t="str">
        <f t="shared" si="9"/>
        <v>7:27</v>
      </c>
      <c r="BB16" s="21" t="str">
        <f t="shared" si="37"/>
        <v>7</v>
      </c>
      <c r="BC16" s="21" t="str">
        <f t="shared" si="38"/>
        <v>27</v>
      </c>
      <c r="BD16" s="22">
        <f t="shared" si="39"/>
        <v>447</v>
      </c>
      <c r="BE16" s="22">
        <f t="shared" si="40"/>
        <v>22</v>
      </c>
      <c r="BF16" s="22">
        <f t="shared" si="41"/>
        <v>447</v>
      </c>
      <c r="BG16" s="21" t="str">
        <f t="shared" si="10"/>
        <v>7:55</v>
      </c>
      <c r="BH16" s="21" t="str">
        <f t="shared" si="42"/>
        <v>7</v>
      </c>
      <c r="BI16" s="21" t="str">
        <f t="shared" si="43"/>
        <v>55</v>
      </c>
      <c r="BJ16" s="22">
        <f t="shared" si="44"/>
        <v>475</v>
      </c>
      <c r="BK16" s="22">
        <f t="shared" si="45"/>
        <v>22</v>
      </c>
      <c r="BN16" s="24" t="s">
        <v>201</v>
      </c>
      <c r="BO16" s="5" t="str">
        <f t="shared" si="49"/>
        <v>05:39</v>
      </c>
      <c r="BP16" s="19">
        <f t="shared" si="50"/>
        <v>5</v>
      </c>
      <c r="BQ16" s="19">
        <f t="shared" si="51"/>
        <v>38.780952380952385</v>
      </c>
      <c r="BR16" s="2">
        <f t="shared" si="52"/>
        <v>338.78095238095239</v>
      </c>
      <c r="BS16" cm="1">
        <f t="array" ref="BS16">INDEX($BJ$6:$BJ$20,MATCH(1,$Z$6:$Z$20,0)-1)</f>
        <v>326</v>
      </c>
      <c r="BT16" s="20">
        <f>SUMPRODUCT($BK$6:$BK$19,$AC$6:$AC$19)</f>
        <v>12.780952380952382</v>
      </c>
      <c r="BU16" s="20"/>
      <c r="BV16" s="92">
        <f t="shared" si="46"/>
        <v>180</v>
      </c>
      <c r="BW16" s="96">
        <f t="shared" si="47"/>
        <v>10.626335319914539</v>
      </c>
      <c r="BX16" s="20"/>
      <c r="BY16" s="44" t="s">
        <v>201</v>
      </c>
    </row>
    <row r="17" spans="2:76" x14ac:dyDescent="0.25">
      <c r="B17" s="13" t="s">
        <v>52</v>
      </c>
      <c r="C17" t="s">
        <v>77</v>
      </c>
      <c r="D17" s="3" t="s">
        <v>115</v>
      </c>
      <c r="E17" s="3" t="s">
        <v>125</v>
      </c>
      <c r="F17" t="s">
        <v>78</v>
      </c>
      <c r="G17" s="3" t="s">
        <v>140</v>
      </c>
      <c r="H17" s="3" t="s">
        <v>64</v>
      </c>
      <c r="I17" t="s">
        <v>79</v>
      </c>
      <c r="J17" t="s">
        <v>80</v>
      </c>
      <c r="K17" s="3" t="s">
        <v>164</v>
      </c>
      <c r="L17" s="3" t="s">
        <v>70</v>
      </c>
      <c r="M17" t="s">
        <v>81</v>
      </c>
      <c r="N17" s="3" t="s">
        <v>183</v>
      </c>
      <c r="O17" s="3" t="s">
        <v>85</v>
      </c>
      <c r="P17" s="15" t="s">
        <v>82</v>
      </c>
      <c r="Q17" s="1" t="str">
        <f t="shared" si="0"/>
        <v>6:31</v>
      </c>
      <c r="R17" s="1" t="str">
        <f t="shared" si="11"/>
        <v>6</v>
      </c>
      <c r="S17" s="1" t="str">
        <f t="shared" si="12"/>
        <v>31</v>
      </c>
      <c r="T17" s="2">
        <f t="shared" si="13"/>
        <v>391</v>
      </c>
      <c r="U17" s="2">
        <f t="shared" si="14"/>
        <v>19</v>
      </c>
      <c r="V17" s="1" t="str">
        <f t="shared" si="15"/>
        <v>35:00</v>
      </c>
      <c r="W17" s="1" t="str">
        <f t="shared" si="16"/>
        <v>35</v>
      </c>
      <c r="X17" s="1" t="str">
        <f t="shared" si="17"/>
        <v>00</v>
      </c>
      <c r="Y17" s="2">
        <f t="shared" si="18"/>
        <v>2100</v>
      </c>
      <c r="Z17" s="2">
        <f>IF(AND(Y17&gt;$BR$8,SUM($Z$5:Z16)=0),1,0)</f>
        <v>0</v>
      </c>
      <c r="AA17" s="2">
        <f t="shared" si="19"/>
        <v>75</v>
      </c>
      <c r="AB17" s="2">
        <f t="shared" si="1"/>
        <v>0</v>
      </c>
      <c r="AC17" s="18">
        <f t="shared" si="53"/>
        <v>0</v>
      </c>
      <c r="AD17" s="1" t="str">
        <f t="shared" si="3"/>
        <v>6:59</v>
      </c>
      <c r="AE17" s="1" t="str">
        <f t="shared" si="20"/>
        <v>6</v>
      </c>
      <c r="AF17" s="1" t="str">
        <f t="shared" si="21"/>
        <v>59</v>
      </c>
      <c r="AG17" s="2">
        <f t="shared" si="22"/>
        <v>419</v>
      </c>
      <c r="AH17" s="2">
        <f t="shared" si="23"/>
        <v>16</v>
      </c>
      <c r="AI17" s="1" t="str">
        <f t="shared" si="24"/>
        <v>72:00</v>
      </c>
      <c r="AJ17" s="1" t="str">
        <f t="shared" si="4"/>
        <v>7:12</v>
      </c>
      <c r="AK17" s="1" t="str">
        <f t="shared" si="25"/>
        <v>7</v>
      </c>
      <c r="AL17" s="1" t="str">
        <f t="shared" si="26"/>
        <v>12</v>
      </c>
      <c r="AM17" s="2">
        <f t="shared" si="27"/>
        <v>432</v>
      </c>
      <c r="AN17" s="2">
        <f t="shared" si="28"/>
        <v>15</v>
      </c>
      <c r="AO17" s="1" t="str">
        <f t="shared" si="5"/>
        <v>7:27</v>
      </c>
      <c r="AP17" s="1" t="str">
        <f t="shared" si="29"/>
        <v>7</v>
      </c>
      <c r="AQ17" s="1" t="str">
        <f t="shared" si="30"/>
        <v>27</v>
      </c>
      <c r="AR17" s="2">
        <f t="shared" si="6"/>
        <v>447</v>
      </c>
      <c r="AS17" s="2">
        <f t="shared" si="31"/>
        <v>22</v>
      </c>
      <c r="AT17" s="1" t="str">
        <f t="shared" si="7"/>
        <v>2:40:00</v>
      </c>
      <c r="AU17" s="1" t="str">
        <f t="shared" si="8"/>
        <v>7:34</v>
      </c>
      <c r="AV17" s="1" t="str">
        <f t="shared" si="32"/>
        <v>7</v>
      </c>
      <c r="AW17" s="1" t="str">
        <f t="shared" si="33"/>
        <v>34</v>
      </c>
      <c r="AX17" s="2">
        <f t="shared" si="34"/>
        <v>454</v>
      </c>
      <c r="AY17" s="2">
        <f t="shared" si="35"/>
        <v>28</v>
      </c>
      <c r="AZ17" s="1" t="str">
        <f t="shared" si="36"/>
        <v>5:30:00</v>
      </c>
      <c r="BA17" s="1" t="str">
        <f t="shared" si="9"/>
        <v>7:49</v>
      </c>
      <c r="BB17" s="1" t="str">
        <f t="shared" si="37"/>
        <v>7</v>
      </c>
      <c r="BC17" s="1" t="str">
        <f t="shared" si="38"/>
        <v>49</v>
      </c>
      <c r="BD17" s="2">
        <f t="shared" si="39"/>
        <v>469</v>
      </c>
      <c r="BE17" s="2">
        <f t="shared" si="40"/>
        <v>16</v>
      </c>
      <c r="BF17" s="2">
        <f t="shared" si="41"/>
        <v>469</v>
      </c>
      <c r="BG17" s="1" t="str">
        <f t="shared" si="10"/>
        <v>8:17</v>
      </c>
      <c r="BH17" s="1" t="str">
        <f t="shared" si="42"/>
        <v>8</v>
      </c>
      <c r="BI17" s="1" t="str">
        <f t="shared" si="43"/>
        <v>17</v>
      </c>
      <c r="BJ17" s="2">
        <f t="shared" si="44"/>
        <v>497</v>
      </c>
      <c r="BK17" s="2">
        <f t="shared" si="45"/>
        <v>16</v>
      </c>
    </row>
    <row r="18" spans="2:76" x14ac:dyDescent="0.25">
      <c r="B18" s="13" t="s">
        <v>58</v>
      </c>
      <c r="C18" t="s">
        <v>83</v>
      </c>
      <c r="D18" s="3" t="s">
        <v>116</v>
      </c>
      <c r="E18" s="3" t="s">
        <v>126</v>
      </c>
      <c r="F18" t="s">
        <v>84</v>
      </c>
      <c r="G18" s="3" t="s">
        <v>141</v>
      </c>
      <c r="H18" s="3" t="s">
        <v>79</v>
      </c>
      <c r="I18" t="s">
        <v>85</v>
      </c>
      <c r="J18" t="s">
        <v>86</v>
      </c>
      <c r="K18" s="3" t="s">
        <v>165</v>
      </c>
      <c r="L18" s="3" t="s">
        <v>171</v>
      </c>
      <c r="M18" t="s">
        <v>87</v>
      </c>
      <c r="N18" s="3" t="s">
        <v>184</v>
      </c>
      <c r="O18" s="3" t="s">
        <v>92</v>
      </c>
      <c r="P18" s="15" t="s">
        <v>88</v>
      </c>
      <c r="Q18" s="1" t="str">
        <f t="shared" si="0"/>
        <v>6:50</v>
      </c>
      <c r="R18" s="1" t="str">
        <f t="shared" si="11"/>
        <v>6</v>
      </c>
      <c r="S18" s="1" t="str">
        <f t="shared" si="12"/>
        <v>50</v>
      </c>
      <c r="T18" s="2">
        <f t="shared" si="13"/>
        <v>410</v>
      </c>
      <c r="U18" s="2">
        <f t="shared" si="14"/>
        <v>19</v>
      </c>
      <c r="V18" s="1" t="str">
        <f t="shared" si="15"/>
        <v>36:15</v>
      </c>
      <c r="W18" s="1" t="str">
        <f t="shared" si="16"/>
        <v>36</v>
      </c>
      <c r="X18" s="1" t="str">
        <f t="shared" si="17"/>
        <v>15</v>
      </c>
      <c r="Y18" s="2">
        <f t="shared" si="18"/>
        <v>2175</v>
      </c>
      <c r="Z18" s="2">
        <f>IF(AND(Y18&gt;$BR$8,SUM($Z$5:Z17)=0),1,0)</f>
        <v>0</v>
      </c>
      <c r="AA18" s="2">
        <f t="shared" si="19"/>
        <v>105</v>
      </c>
      <c r="AB18" s="2">
        <f t="shared" si="1"/>
        <v>0</v>
      </c>
      <c r="AC18" s="18">
        <f t="shared" si="53"/>
        <v>0</v>
      </c>
      <c r="AD18" s="1" t="str">
        <f t="shared" si="3"/>
        <v>7:15</v>
      </c>
      <c r="AE18" s="1" t="str">
        <f t="shared" si="20"/>
        <v>7</v>
      </c>
      <c r="AF18" s="1" t="str">
        <f t="shared" si="21"/>
        <v>15</v>
      </c>
      <c r="AG18" s="2">
        <f t="shared" si="22"/>
        <v>435</v>
      </c>
      <c r="AH18" s="2">
        <f t="shared" si="23"/>
        <v>22</v>
      </c>
      <c r="AI18" s="1" t="str">
        <f t="shared" si="24"/>
        <v>75:00</v>
      </c>
      <c r="AJ18" s="1" t="str">
        <f t="shared" si="4"/>
        <v>7:27</v>
      </c>
      <c r="AK18" s="1" t="str">
        <f t="shared" si="25"/>
        <v>7</v>
      </c>
      <c r="AL18" s="1" t="str">
        <f t="shared" si="26"/>
        <v>27</v>
      </c>
      <c r="AM18" s="2">
        <f t="shared" si="27"/>
        <v>447</v>
      </c>
      <c r="AN18" s="2">
        <f t="shared" si="28"/>
        <v>22</v>
      </c>
      <c r="AO18" s="1" t="str">
        <f t="shared" si="5"/>
        <v>7:49</v>
      </c>
      <c r="AP18" s="1" t="str">
        <f t="shared" si="29"/>
        <v>7</v>
      </c>
      <c r="AQ18" s="1" t="str">
        <f t="shared" si="30"/>
        <v>49</v>
      </c>
      <c r="AR18" s="2">
        <f t="shared" si="6"/>
        <v>469</v>
      </c>
      <c r="AS18" s="2">
        <f t="shared" si="31"/>
        <v>16</v>
      </c>
      <c r="AT18" s="1" t="str">
        <f t="shared" si="7"/>
        <v>2:50:00</v>
      </c>
      <c r="AU18" s="1" t="str">
        <f t="shared" si="8"/>
        <v>8:02</v>
      </c>
      <c r="AV18" s="1" t="str">
        <f t="shared" si="32"/>
        <v>8</v>
      </c>
      <c r="AW18" s="1" t="str">
        <f t="shared" si="33"/>
        <v>02</v>
      </c>
      <c r="AX18" s="2">
        <f t="shared" si="34"/>
        <v>482</v>
      </c>
      <c r="AY18" s="2">
        <f t="shared" si="35"/>
        <v>12</v>
      </c>
      <c r="AZ18" s="1" t="str">
        <f t="shared" si="36"/>
        <v>5:40:00</v>
      </c>
      <c r="BA18" s="1" t="str">
        <f t="shared" si="9"/>
        <v>8:05</v>
      </c>
      <c r="BB18" s="1" t="str">
        <f t="shared" si="37"/>
        <v>8</v>
      </c>
      <c r="BC18" s="1" t="str">
        <f t="shared" si="38"/>
        <v>05</v>
      </c>
      <c r="BD18" s="2">
        <f t="shared" si="39"/>
        <v>485</v>
      </c>
      <c r="BE18" s="2">
        <f t="shared" si="40"/>
        <v>12</v>
      </c>
      <c r="BF18" s="2">
        <f t="shared" si="41"/>
        <v>485</v>
      </c>
      <c r="BG18" s="1" t="str">
        <f t="shared" si="10"/>
        <v>8:33</v>
      </c>
      <c r="BH18" s="1" t="str">
        <f t="shared" si="42"/>
        <v>8</v>
      </c>
      <c r="BI18" s="1" t="str">
        <f t="shared" si="43"/>
        <v>33</v>
      </c>
      <c r="BJ18" s="2">
        <f t="shared" si="44"/>
        <v>513</v>
      </c>
      <c r="BK18" s="2">
        <f t="shared" si="45"/>
        <v>12</v>
      </c>
    </row>
    <row r="19" spans="2:76" x14ac:dyDescent="0.25">
      <c r="B19" s="13" t="s">
        <v>89</v>
      </c>
      <c r="C19" t="s">
        <v>90</v>
      </c>
      <c r="D19" s="3" t="s">
        <v>117</v>
      </c>
      <c r="E19" s="3" t="s">
        <v>127</v>
      </c>
      <c r="F19" t="s">
        <v>91</v>
      </c>
      <c r="G19" s="3" t="s">
        <v>142</v>
      </c>
      <c r="H19" s="3" t="s">
        <v>85</v>
      </c>
      <c r="I19" t="s">
        <v>92</v>
      </c>
      <c r="J19" t="s">
        <v>93</v>
      </c>
      <c r="K19" s="3" t="s">
        <v>166</v>
      </c>
      <c r="L19" s="3" t="s">
        <v>172</v>
      </c>
      <c r="M19" t="s">
        <v>94</v>
      </c>
      <c r="N19" s="3" t="s">
        <v>185</v>
      </c>
      <c r="O19" s="3" t="s">
        <v>82</v>
      </c>
      <c r="P19" s="15" t="s">
        <v>95</v>
      </c>
      <c r="Q19" s="1" t="str">
        <f t="shared" si="0"/>
        <v>7:09</v>
      </c>
      <c r="R19" s="1" t="str">
        <f t="shared" si="11"/>
        <v>7</v>
      </c>
      <c r="S19" s="1" t="str">
        <f t="shared" si="12"/>
        <v>09</v>
      </c>
      <c r="T19" s="2">
        <f t="shared" si="13"/>
        <v>429</v>
      </c>
      <c r="U19" s="2">
        <f t="shared" si="14"/>
        <v>18</v>
      </c>
      <c r="V19" s="1" t="str">
        <f t="shared" si="15"/>
        <v>38:00</v>
      </c>
      <c r="W19" s="1" t="str">
        <f t="shared" si="16"/>
        <v>38</v>
      </c>
      <c r="X19" s="1" t="str">
        <f t="shared" si="17"/>
        <v>00</v>
      </c>
      <c r="Y19" s="2">
        <f t="shared" si="18"/>
        <v>2280</v>
      </c>
      <c r="Z19" s="2">
        <f>IF(AND(Y19&gt;$BR$8,SUM($Z$5:Z18)=0),1,0)</f>
        <v>0</v>
      </c>
      <c r="AA19" s="2">
        <f t="shared" si="19"/>
        <v>90</v>
      </c>
      <c r="AB19" s="2">
        <f t="shared" si="1"/>
        <v>0</v>
      </c>
      <c r="AC19" s="18">
        <f t="shared" si="53"/>
        <v>0</v>
      </c>
      <c r="AD19" s="1" t="str">
        <f t="shared" si="3"/>
        <v>7:37</v>
      </c>
      <c r="AE19" s="1" t="str">
        <f t="shared" si="20"/>
        <v>7</v>
      </c>
      <c r="AF19" s="1" t="str">
        <f t="shared" si="21"/>
        <v>37</v>
      </c>
      <c r="AG19" s="2">
        <f t="shared" si="22"/>
        <v>457</v>
      </c>
      <c r="AH19" s="2">
        <f t="shared" si="23"/>
        <v>15</v>
      </c>
      <c r="AI19" s="1" t="str">
        <f t="shared" si="24"/>
        <v>78:30</v>
      </c>
      <c r="AJ19" s="1" t="str">
        <f t="shared" si="4"/>
        <v>7:49</v>
      </c>
      <c r="AK19" s="1" t="str">
        <f t="shared" si="25"/>
        <v>7</v>
      </c>
      <c r="AL19" s="1" t="str">
        <f t="shared" si="26"/>
        <v>49</v>
      </c>
      <c r="AM19" s="2">
        <f t="shared" si="27"/>
        <v>469</v>
      </c>
      <c r="AN19" s="2">
        <f t="shared" si="28"/>
        <v>19</v>
      </c>
      <c r="AO19" s="1" t="str">
        <f t="shared" si="5"/>
        <v>8:05</v>
      </c>
      <c r="AP19" s="1" t="str">
        <f t="shared" si="29"/>
        <v>8</v>
      </c>
      <c r="AQ19" s="1" t="str">
        <f t="shared" si="30"/>
        <v>05</v>
      </c>
      <c r="AR19" s="2">
        <f t="shared" si="6"/>
        <v>485</v>
      </c>
      <c r="AS19" s="2">
        <f t="shared" si="31"/>
        <v>21</v>
      </c>
      <c r="AT19" s="1" t="str">
        <f t="shared" si="7"/>
        <v>2:55:00</v>
      </c>
      <c r="AU19" s="1" t="str">
        <f t="shared" si="8"/>
        <v>8:14</v>
      </c>
      <c r="AV19" s="1" t="str">
        <f t="shared" si="32"/>
        <v>8</v>
      </c>
      <c r="AW19" s="1" t="str">
        <f t="shared" si="33"/>
        <v>14</v>
      </c>
      <c r="AX19" s="2">
        <f t="shared" si="34"/>
        <v>494</v>
      </c>
      <c r="AY19" s="2">
        <f t="shared" si="35"/>
        <v>31</v>
      </c>
      <c r="AZ19" s="1" t="str">
        <f t="shared" si="36"/>
        <v>5:50:00</v>
      </c>
      <c r="BA19" s="1" t="str">
        <f t="shared" si="9"/>
        <v>8:17</v>
      </c>
      <c r="BB19" s="1" t="str">
        <f t="shared" si="37"/>
        <v>8</v>
      </c>
      <c r="BC19" s="1" t="str">
        <f t="shared" si="38"/>
        <v>17</v>
      </c>
      <c r="BD19" s="2">
        <f t="shared" si="39"/>
        <v>497</v>
      </c>
      <c r="BE19" s="2">
        <f t="shared" si="40"/>
        <v>16</v>
      </c>
      <c r="BF19" s="2">
        <f t="shared" si="41"/>
        <v>497</v>
      </c>
      <c r="BG19" s="1" t="str">
        <f t="shared" si="10"/>
        <v>8:45</v>
      </c>
      <c r="BH19" s="1" t="str">
        <f t="shared" si="42"/>
        <v>8</v>
      </c>
      <c r="BI19" s="1" t="str">
        <f t="shared" si="43"/>
        <v>45</v>
      </c>
      <c r="BJ19" s="2">
        <f t="shared" si="44"/>
        <v>525</v>
      </c>
      <c r="BK19" s="2">
        <f t="shared" si="45"/>
        <v>16</v>
      </c>
    </row>
    <row r="20" spans="2:76" x14ac:dyDescent="0.25">
      <c r="B20" s="13" t="s">
        <v>79</v>
      </c>
      <c r="C20" t="s">
        <v>96</v>
      </c>
      <c r="D20" s="3" t="s">
        <v>118</v>
      </c>
      <c r="E20" s="3" t="s">
        <v>128</v>
      </c>
      <c r="F20" t="s">
        <v>97</v>
      </c>
      <c r="G20" s="3" t="s">
        <v>143</v>
      </c>
      <c r="H20" s="3" t="s">
        <v>152</v>
      </c>
      <c r="I20" t="s">
        <v>98</v>
      </c>
      <c r="J20" t="s">
        <v>99</v>
      </c>
      <c r="K20" s="3" t="s">
        <v>167</v>
      </c>
      <c r="L20" s="3" t="s">
        <v>95</v>
      </c>
      <c r="M20" t="s">
        <v>100</v>
      </c>
      <c r="N20" s="3" t="s">
        <v>186</v>
      </c>
      <c r="O20" s="3" t="s">
        <v>88</v>
      </c>
      <c r="P20" s="15" t="s">
        <v>101</v>
      </c>
      <c r="Q20" s="1" t="str">
        <f t="shared" si="0"/>
        <v>7:27</v>
      </c>
      <c r="R20" s="1" t="str">
        <f t="shared" si="11"/>
        <v>7</v>
      </c>
      <c r="S20" s="1" t="str">
        <f t="shared" si="12"/>
        <v>27</v>
      </c>
      <c r="T20" s="2">
        <f t="shared" si="13"/>
        <v>447</v>
      </c>
      <c r="U20" s="2"/>
      <c r="V20" s="1" t="str">
        <f t="shared" si="15"/>
        <v>39:30</v>
      </c>
      <c r="W20" s="1" t="str">
        <f t="shared" si="16"/>
        <v>39</v>
      </c>
      <c r="X20" s="1" t="str">
        <f t="shared" si="17"/>
        <v>30</v>
      </c>
      <c r="Y20" s="2">
        <f t="shared" si="18"/>
        <v>2370</v>
      </c>
      <c r="Z20" s="2">
        <f>IF(AND(Y20&gt;$BR$8,SUM($Z$5:Z19)=0),1,0)</f>
        <v>0</v>
      </c>
      <c r="AA20" s="2"/>
      <c r="AB20" s="2"/>
      <c r="AC20" s="2"/>
      <c r="AD20" s="1" t="str">
        <f t="shared" si="3"/>
        <v>7:52</v>
      </c>
      <c r="AE20" s="1" t="str">
        <f t="shared" si="20"/>
        <v>7</v>
      </c>
      <c r="AF20" s="1" t="str">
        <f t="shared" si="21"/>
        <v>52</v>
      </c>
      <c r="AG20" s="2">
        <f t="shared" si="22"/>
        <v>472</v>
      </c>
      <c r="AH20" s="2"/>
      <c r="AI20" s="1" t="str">
        <f t="shared" si="24"/>
        <v>81:30</v>
      </c>
      <c r="AJ20" s="1" t="str">
        <f t="shared" si="4"/>
        <v>8:08</v>
      </c>
      <c r="AK20" s="1" t="str">
        <f t="shared" si="25"/>
        <v>8</v>
      </c>
      <c r="AL20" s="1" t="str">
        <f t="shared" si="26"/>
        <v>08</v>
      </c>
      <c r="AM20" s="2">
        <f t="shared" si="27"/>
        <v>488</v>
      </c>
      <c r="AN20" s="2"/>
      <c r="AO20" s="1" t="str">
        <f t="shared" si="5"/>
        <v>8:26</v>
      </c>
      <c r="AP20" s="1" t="str">
        <f t="shared" si="29"/>
        <v>8</v>
      </c>
      <c r="AQ20" s="1" t="str">
        <f t="shared" si="30"/>
        <v>26</v>
      </c>
      <c r="AR20" s="2">
        <f t="shared" si="6"/>
        <v>506</v>
      </c>
      <c r="AS20" s="2"/>
      <c r="AT20" s="1" t="str">
        <f t="shared" si="7"/>
        <v>3:05:00</v>
      </c>
      <c r="AU20" s="1" t="str">
        <f t="shared" si="8"/>
        <v>8:45</v>
      </c>
      <c r="AV20" s="1" t="str">
        <f t="shared" si="32"/>
        <v>8</v>
      </c>
      <c r="AW20" s="1" t="str">
        <f t="shared" si="33"/>
        <v>45</v>
      </c>
      <c r="AX20" s="2">
        <f t="shared" si="34"/>
        <v>525</v>
      </c>
      <c r="AY20" s="2"/>
      <c r="AZ20" s="1" t="str">
        <f t="shared" si="36"/>
        <v>6:00:00</v>
      </c>
      <c r="BA20" s="1" t="str">
        <f t="shared" si="9"/>
        <v>8:33</v>
      </c>
      <c r="BB20" s="1" t="str">
        <f t="shared" si="37"/>
        <v>8</v>
      </c>
      <c r="BC20" s="1" t="str">
        <f t="shared" si="38"/>
        <v>33</v>
      </c>
      <c r="BD20" s="2">
        <f t="shared" si="39"/>
        <v>513</v>
      </c>
      <c r="BE20" s="2"/>
      <c r="BF20" s="2">
        <f t="shared" si="41"/>
        <v>513</v>
      </c>
      <c r="BG20" s="1" t="str">
        <f t="shared" si="10"/>
        <v>9:01</v>
      </c>
      <c r="BH20" s="1" t="str">
        <f t="shared" si="42"/>
        <v>9</v>
      </c>
      <c r="BI20" s="1" t="str">
        <f t="shared" si="43"/>
        <v>01</v>
      </c>
      <c r="BJ20" s="2">
        <f t="shared" si="44"/>
        <v>541</v>
      </c>
      <c r="BK20" s="2"/>
    </row>
    <row r="24" spans="2:76" x14ac:dyDescent="0.25">
      <c r="BM24" t="s">
        <v>198</v>
      </c>
      <c r="BN24" s="26" t="s">
        <v>218</v>
      </c>
      <c r="BO24" s="25" t="s">
        <v>197</v>
      </c>
    </row>
    <row r="25" spans="2:76" x14ac:dyDescent="0.25">
      <c r="BN25" s="24" t="s">
        <v>208</v>
      </c>
      <c r="BO25" s="78" t="s">
        <v>112</v>
      </c>
    </row>
    <row r="26" spans="2:76" x14ac:dyDescent="0.25">
      <c r="BN26" s="24" t="s">
        <v>203</v>
      </c>
      <c r="BO26" s="5" t="s">
        <v>644</v>
      </c>
    </row>
    <row r="27" spans="2:76" x14ac:dyDescent="0.25">
      <c r="BN27" s="24" t="s">
        <v>241</v>
      </c>
      <c r="BO27" s="5" t="s">
        <v>648</v>
      </c>
      <c r="BX27" s="77">
        <v>6.4814814814814813E-3</v>
      </c>
    </row>
    <row r="28" spans="2:76" x14ac:dyDescent="0.25">
      <c r="BN28" s="24" t="s">
        <v>210</v>
      </c>
      <c r="BO28" s="5" t="s">
        <v>234</v>
      </c>
      <c r="BX28" s="77">
        <v>2.0833333333333332E-2</v>
      </c>
    </row>
    <row r="29" spans="2:76" x14ac:dyDescent="0.25">
      <c r="BN29" s="115" t="s">
        <v>211</v>
      </c>
      <c r="BO29" s="116" t="s">
        <v>642</v>
      </c>
      <c r="BP29" s="40"/>
      <c r="BQ29" s="40"/>
      <c r="BR29" s="40"/>
      <c r="BS29" s="40"/>
      <c r="BT29" s="40"/>
      <c r="BU29" s="40"/>
      <c r="BV29" s="40"/>
      <c r="BW29" s="40"/>
      <c r="BX29" s="117">
        <v>4.3171296296296298E-2</v>
      </c>
    </row>
    <row r="30" spans="2:76" x14ac:dyDescent="0.25">
      <c r="BN30" s="24" t="s">
        <v>202</v>
      </c>
      <c r="BO30" s="5" t="s">
        <v>656</v>
      </c>
      <c r="BX30" s="76"/>
    </row>
    <row r="31" spans="2:76" x14ac:dyDescent="0.25">
      <c r="BN31" s="24" t="s">
        <v>212</v>
      </c>
      <c r="BO31" s="5" t="s">
        <v>657</v>
      </c>
      <c r="BX31" s="77">
        <v>9.7187499999999996E-2</v>
      </c>
    </row>
    <row r="32" spans="2:76" x14ac:dyDescent="0.25">
      <c r="BN32" s="24" t="s">
        <v>213</v>
      </c>
      <c r="BO32" s="5" t="s">
        <v>658</v>
      </c>
      <c r="BX32" s="77">
        <v>0.19729166666666667</v>
      </c>
    </row>
    <row r="33" spans="65:76" x14ac:dyDescent="0.25">
      <c r="BN33" s="24" t="s">
        <v>201</v>
      </c>
      <c r="BO33" s="5" t="s">
        <v>643</v>
      </c>
    </row>
    <row r="35" spans="65:76" x14ac:dyDescent="0.25">
      <c r="BM35" t="s">
        <v>198</v>
      </c>
      <c r="BN35" s="26" t="s">
        <v>218</v>
      </c>
      <c r="BO35" s="25" t="s">
        <v>197</v>
      </c>
    </row>
    <row r="36" spans="65:76" x14ac:dyDescent="0.25">
      <c r="BN36" s="24" t="s">
        <v>208</v>
      </c>
      <c r="BO36" s="78" t="s">
        <v>226</v>
      </c>
    </row>
    <row r="37" spans="65:76" x14ac:dyDescent="0.25">
      <c r="BN37" s="24" t="s">
        <v>203</v>
      </c>
      <c r="BO37" s="5" t="s">
        <v>659</v>
      </c>
    </row>
    <row r="38" spans="65:76" x14ac:dyDescent="0.25">
      <c r="BN38" s="24" t="s">
        <v>241</v>
      </c>
      <c r="BO38" s="5" t="s">
        <v>660</v>
      </c>
      <c r="BX38" s="77">
        <v>5.347222222222222E-3</v>
      </c>
    </row>
    <row r="39" spans="65:76" x14ac:dyDescent="0.25">
      <c r="BN39" s="24" t="s">
        <v>210</v>
      </c>
      <c r="BO39" s="5" t="s">
        <v>661</v>
      </c>
      <c r="BX39" s="77">
        <v>1.726851851851852E-2</v>
      </c>
    </row>
    <row r="40" spans="65:76" x14ac:dyDescent="0.25">
      <c r="BN40" s="115" t="s">
        <v>211</v>
      </c>
      <c r="BO40" s="116" t="s">
        <v>662</v>
      </c>
      <c r="BP40" s="40"/>
      <c r="BQ40" s="40"/>
      <c r="BR40" s="40"/>
      <c r="BS40" s="40"/>
      <c r="BT40" s="40"/>
      <c r="BU40" s="40"/>
      <c r="BV40" s="40"/>
      <c r="BW40" s="40"/>
      <c r="BX40" s="117">
        <v>3.5972222222222225E-2</v>
      </c>
    </row>
    <row r="41" spans="65:76" x14ac:dyDescent="0.25">
      <c r="BN41" s="24" t="s">
        <v>202</v>
      </c>
      <c r="BO41" s="5" t="s">
        <v>647</v>
      </c>
      <c r="BX41" s="76"/>
    </row>
    <row r="42" spans="65:76" x14ac:dyDescent="0.25">
      <c r="BN42" s="115" t="s">
        <v>212</v>
      </c>
      <c r="BO42" s="116" t="s">
        <v>663</v>
      </c>
      <c r="BP42" s="40"/>
      <c r="BQ42" s="40"/>
      <c r="BR42" s="40"/>
      <c r="BS42" s="40"/>
      <c r="BT42" s="40"/>
      <c r="BU42" s="40"/>
      <c r="BV42" s="40"/>
      <c r="BW42" s="40"/>
      <c r="BX42" s="117">
        <v>7.8993055555555552E-2</v>
      </c>
    </row>
    <row r="43" spans="65:76" x14ac:dyDescent="0.25">
      <c r="BN43" s="115" t="s">
        <v>213</v>
      </c>
      <c r="BO43" s="116" t="s">
        <v>664</v>
      </c>
      <c r="BP43" s="40"/>
      <c r="BQ43" s="40"/>
      <c r="BR43" s="40"/>
      <c r="BS43" s="40"/>
      <c r="BT43" s="40"/>
      <c r="BU43" s="40"/>
      <c r="BV43" s="40"/>
      <c r="BW43" s="40"/>
      <c r="BX43" s="117">
        <v>0.16521990740740741</v>
      </c>
    </row>
    <row r="44" spans="65:76" x14ac:dyDescent="0.25">
      <c r="BN44" s="24" t="s">
        <v>201</v>
      </c>
      <c r="BO44" s="5" t="s">
        <v>665</v>
      </c>
    </row>
    <row r="46" spans="65:76" x14ac:dyDescent="0.25">
      <c r="BM46" t="s">
        <v>199</v>
      </c>
      <c r="BN46" s="26" t="s">
        <v>218</v>
      </c>
      <c r="BO46" s="25" t="s">
        <v>197</v>
      </c>
    </row>
    <row r="47" spans="65:76" x14ac:dyDescent="0.25">
      <c r="BN47" s="24" t="s">
        <v>208</v>
      </c>
      <c r="BO47" s="78" t="s">
        <v>649</v>
      </c>
    </row>
    <row r="48" spans="65:76" x14ac:dyDescent="0.25">
      <c r="BN48" s="24" t="s">
        <v>203</v>
      </c>
      <c r="BO48" s="5" t="s">
        <v>650</v>
      </c>
    </row>
    <row r="49" spans="65:76" x14ac:dyDescent="0.25">
      <c r="BN49" s="24" t="s">
        <v>241</v>
      </c>
      <c r="BO49" s="5" t="s">
        <v>651</v>
      </c>
      <c r="BX49" s="77">
        <v>5.6018518518518518E-3</v>
      </c>
    </row>
    <row r="50" spans="65:76" x14ac:dyDescent="0.25">
      <c r="BN50" s="24" t="s">
        <v>210</v>
      </c>
      <c r="BO50" s="5" t="s">
        <v>652</v>
      </c>
      <c r="BX50" s="77">
        <v>1.8078703703703704E-2</v>
      </c>
    </row>
    <row r="51" spans="65:76" x14ac:dyDescent="0.25">
      <c r="BN51" s="24" t="s">
        <v>211</v>
      </c>
      <c r="BO51" s="5" t="s">
        <v>647</v>
      </c>
      <c r="BX51" s="77">
        <v>3.7673611111111109E-2</v>
      </c>
    </row>
    <row r="52" spans="65:76" x14ac:dyDescent="0.25">
      <c r="BN52" s="24" t="s">
        <v>202</v>
      </c>
      <c r="BO52" s="5" t="s">
        <v>653</v>
      </c>
      <c r="BX52" s="76"/>
    </row>
    <row r="53" spans="65:76" x14ac:dyDescent="0.25">
      <c r="BN53" s="115" t="s">
        <v>212</v>
      </c>
      <c r="BO53" s="116" t="s">
        <v>653</v>
      </c>
      <c r="BP53" s="40"/>
      <c r="BQ53" s="40"/>
      <c r="BR53" s="40"/>
      <c r="BS53" s="40"/>
      <c r="BT53" s="40"/>
      <c r="BU53" s="40"/>
      <c r="BV53" s="40"/>
      <c r="BW53" s="40"/>
      <c r="BX53" s="117">
        <v>8.3194444444444446E-2</v>
      </c>
    </row>
    <row r="54" spans="65:76" x14ac:dyDescent="0.25">
      <c r="BN54" s="24" t="s">
        <v>213</v>
      </c>
      <c r="BO54" s="5" t="s">
        <v>654</v>
      </c>
      <c r="BX54" s="77">
        <v>0.1726388888888889</v>
      </c>
    </row>
    <row r="55" spans="65:76" x14ac:dyDescent="0.25">
      <c r="BN55" s="24" t="s">
        <v>201</v>
      </c>
      <c r="BO55" s="5" t="s">
        <v>655</v>
      </c>
    </row>
    <row r="57" spans="65:76" x14ac:dyDescent="0.25">
      <c r="BM57" t="s">
        <v>200</v>
      </c>
      <c r="BN57" s="26" t="s">
        <v>218</v>
      </c>
      <c r="BO57" s="25" t="s">
        <v>197</v>
      </c>
    </row>
    <row r="58" spans="65:76" x14ac:dyDescent="0.25">
      <c r="BN58" s="24" t="s">
        <v>208</v>
      </c>
      <c r="BO58" s="78" t="s">
        <v>226</v>
      </c>
      <c r="BP58" t="s">
        <v>667</v>
      </c>
      <c r="BQ58" t="s">
        <v>668</v>
      </c>
      <c r="BR58">
        <v>1500</v>
      </c>
    </row>
    <row r="59" spans="65:76" x14ac:dyDescent="0.25">
      <c r="BN59" s="24" t="s">
        <v>203</v>
      </c>
      <c r="BO59" s="5" t="s">
        <v>659</v>
      </c>
      <c r="BP59">
        <v>4</v>
      </c>
      <c r="BQ59">
        <v>36.833333333333314</v>
      </c>
      <c r="BR59">
        <v>276.83333333333331</v>
      </c>
      <c r="BS59">
        <v>261</v>
      </c>
      <c r="BT59">
        <v>15.833333333333334</v>
      </c>
      <c r="BV59">
        <v>220</v>
      </c>
      <c r="BW59">
        <v>13.004214328717641</v>
      </c>
    </row>
    <row r="60" spans="65:76" x14ac:dyDescent="0.25">
      <c r="BN60" s="24" t="s">
        <v>241</v>
      </c>
      <c r="BO60" s="5" t="s">
        <v>660</v>
      </c>
      <c r="BP60">
        <v>4</v>
      </c>
      <c r="BQ60">
        <v>47.666666666666629</v>
      </c>
      <c r="BR60">
        <v>287.66666666666663</v>
      </c>
      <c r="BU60">
        <v>1.60934</v>
      </c>
      <c r="BV60">
        <v>210</v>
      </c>
      <c r="BW60">
        <v>12.514484356894556</v>
      </c>
      <c r="BX60" s="77">
        <v>5.347222222222222E-3</v>
      </c>
    </row>
    <row r="61" spans="65:76" x14ac:dyDescent="0.25">
      <c r="BN61" s="24" t="s">
        <v>210</v>
      </c>
      <c r="BO61" s="5" t="s">
        <v>661</v>
      </c>
      <c r="BP61">
        <v>4</v>
      </c>
      <c r="BQ61">
        <v>58.5</v>
      </c>
      <c r="BR61">
        <v>298.5</v>
      </c>
      <c r="BS61">
        <v>286</v>
      </c>
      <c r="BT61">
        <v>12.5</v>
      </c>
      <c r="BU61">
        <v>5</v>
      </c>
      <c r="BV61">
        <v>200</v>
      </c>
      <c r="BW61">
        <v>12.060301507537689</v>
      </c>
      <c r="BX61" s="77">
        <v>1.726851851851852E-2</v>
      </c>
    </row>
    <row r="62" spans="65:76" x14ac:dyDescent="0.25">
      <c r="BN62" s="24" t="s">
        <v>211</v>
      </c>
      <c r="BO62" s="5" t="s">
        <v>662</v>
      </c>
      <c r="BP62">
        <v>5</v>
      </c>
      <c r="BQ62">
        <v>10.833333333333314</v>
      </c>
      <c r="BR62">
        <v>310.83333333333331</v>
      </c>
      <c r="BS62">
        <v>295</v>
      </c>
      <c r="BT62">
        <v>15.833333333333334</v>
      </c>
      <c r="BU62">
        <v>10</v>
      </c>
      <c r="BV62">
        <v>190</v>
      </c>
      <c r="BW62">
        <v>11.58176943699732</v>
      </c>
      <c r="BX62" s="77">
        <v>3.5972222222222225E-2</v>
      </c>
    </row>
    <row r="63" spans="65:76" x14ac:dyDescent="0.25">
      <c r="BN63" s="24" t="s">
        <v>202</v>
      </c>
      <c r="BO63" s="5" t="s">
        <v>647</v>
      </c>
      <c r="BP63">
        <v>5</v>
      </c>
      <c r="BQ63">
        <v>25.5</v>
      </c>
      <c r="BR63">
        <v>325.5</v>
      </c>
      <c r="BS63">
        <v>308</v>
      </c>
      <c r="BT63">
        <v>17.5</v>
      </c>
      <c r="BV63">
        <v>180</v>
      </c>
      <c r="BW63">
        <v>11.059907834101383</v>
      </c>
      <c r="BX63" s="76"/>
    </row>
    <row r="64" spans="65:76" x14ac:dyDescent="0.25">
      <c r="BN64" s="24" t="s">
        <v>212</v>
      </c>
      <c r="BO64" s="5" t="s">
        <v>663</v>
      </c>
      <c r="BP64">
        <v>5</v>
      </c>
      <c r="BQ64">
        <v>23.5</v>
      </c>
      <c r="BR64">
        <v>323.5</v>
      </c>
      <c r="BS64">
        <v>311</v>
      </c>
      <c r="BT64">
        <v>12.5</v>
      </c>
      <c r="BU64">
        <v>21.1</v>
      </c>
      <c r="BV64">
        <v>190</v>
      </c>
      <c r="BW64">
        <v>11.128284389489954</v>
      </c>
      <c r="BX64" s="77">
        <v>7.8993055555555552E-2</v>
      </c>
    </row>
    <row r="65" spans="66:76" x14ac:dyDescent="0.25">
      <c r="BN65" s="115" t="s">
        <v>213</v>
      </c>
      <c r="BO65" s="116" t="s">
        <v>664</v>
      </c>
      <c r="BP65" s="40">
        <v>5</v>
      </c>
      <c r="BQ65" s="40">
        <v>38.333333333333314</v>
      </c>
      <c r="BR65" s="40">
        <v>338.33333333333331</v>
      </c>
      <c r="BS65" s="40">
        <v>320</v>
      </c>
      <c r="BT65" s="40">
        <v>18.333333333333336</v>
      </c>
      <c r="BU65" s="40">
        <v>42.195</v>
      </c>
      <c r="BV65" s="40">
        <v>180</v>
      </c>
      <c r="BW65" s="40">
        <v>10.640394088669952</v>
      </c>
      <c r="BX65" s="117">
        <v>0.16521990740740741</v>
      </c>
    </row>
    <row r="66" spans="66:76" x14ac:dyDescent="0.25">
      <c r="BN66" s="24" t="s">
        <v>201</v>
      </c>
      <c r="BO66" s="5" t="s">
        <v>665</v>
      </c>
      <c r="BP66">
        <v>6</v>
      </c>
      <c r="BQ66">
        <v>6.3333333333333144</v>
      </c>
      <c r="BR66">
        <v>366.33333333333331</v>
      </c>
      <c r="BS66">
        <v>348</v>
      </c>
      <c r="BT66">
        <v>18.333333333333336</v>
      </c>
      <c r="BV66">
        <v>160</v>
      </c>
      <c r="BW66">
        <v>9.8271155595996369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4CFD-B047-4BF8-8E7D-A3754EDFBEF8}">
  <dimension ref="B2:O24"/>
  <sheetViews>
    <sheetView showGridLines="0" workbookViewId="0">
      <pane ySplit="3" topLeftCell="A4" activePane="bottomLeft" state="frozen"/>
      <selection activeCell="B1" sqref="B1"/>
      <selection pane="bottomLeft" activeCell="F7" sqref="F7"/>
    </sheetView>
  </sheetViews>
  <sheetFormatPr defaultRowHeight="15" outlineLevelCol="1" x14ac:dyDescent="0.25"/>
  <cols>
    <col min="1" max="1" width="2.7109375" customWidth="1"/>
    <col min="3" max="3" width="9.140625" customWidth="1" outlineLevel="1"/>
    <col min="5" max="7" width="9.140625" customWidth="1" outlineLevel="1"/>
    <col min="9" max="9" width="9.140625" style="86"/>
  </cols>
  <sheetData>
    <row r="2" spans="2:15" s="4" customFormat="1" x14ac:dyDescent="0.25">
      <c r="C2" s="4" t="s">
        <v>219</v>
      </c>
      <c r="G2" s="4" t="s">
        <v>258</v>
      </c>
      <c r="I2" s="87"/>
    </row>
    <row r="3" spans="2:15" s="4" customFormat="1" x14ac:dyDescent="0.25">
      <c r="B3" s="4" t="s">
        <v>635</v>
      </c>
      <c r="C3" s="4" t="s">
        <v>215</v>
      </c>
      <c r="D3" s="4" t="s">
        <v>636</v>
      </c>
      <c r="E3" s="90" t="s">
        <v>638</v>
      </c>
      <c r="F3" s="90" t="s">
        <v>637</v>
      </c>
      <c r="G3" s="4" t="s">
        <v>639</v>
      </c>
      <c r="H3" s="4" t="s">
        <v>640</v>
      </c>
      <c r="I3" s="88">
        <v>5</v>
      </c>
      <c r="J3" s="89">
        <v>6.5</v>
      </c>
      <c r="K3" s="89">
        <v>8</v>
      </c>
      <c r="L3" s="89">
        <v>10</v>
      </c>
      <c r="M3" s="89">
        <v>3.5</v>
      </c>
      <c r="N3" s="89"/>
      <c r="O3" s="89"/>
    </row>
    <row r="4" spans="2:15" x14ac:dyDescent="0.25">
      <c r="B4" s="83">
        <v>1</v>
      </c>
      <c r="C4" s="85">
        <v>320</v>
      </c>
      <c r="D4" s="84">
        <f>IF(ISNUMBER(C4),TIME(,,C4),"-")</f>
        <v>3.7037037037037038E-3</v>
      </c>
      <c r="G4" s="82" t="str">
        <f>IF(F4=1,SUM($C$4:C4),IF(F4&gt;0,SUM($C3:C$4,C4*F4),"-"))</f>
        <v>-</v>
      </c>
      <c r="H4" s="84" t="str">
        <f>IF(ISNUMBER(G4),TIME(,,G4/IF(F4=1,B4,B3+F4)),"-")</f>
        <v>-</v>
      </c>
    </row>
    <row r="5" spans="2:15" x14ac:dyDescent="0.25">
      <c r="B5" s="83">
        <f>B4+1</f>
        <v>2</v>
      </c>
      <c r="C5">
        <f>IF(F4&gt;0,"-",IF(E5=1,C4-10,C4))</f>
        <v>310</v>
      </c>
      <c r="D5" s="84">
        <f>IF(ISNUMBER(C5),TIME(,,C5),"-")</f>
        <v>3.5879629629629629E-3</v>
      </c>
      <c r="E5">
        <v>1</v>
      </c>
      <c r="G5" s="82" t="str">
        <f>IF(F5=1,SUM($C$4:C5),IF(F5&gt;0,SUM($C$4:C4,C5*F5),"-"))</f>
        <v>-</v>
      </c>
      <c r="H5" s="84" t="str">
        <f t="shared" ref="H5:H24" si="0">IF(ISNUMBER(G5),TIME(,,G5/IF(F5=1,B5,B4+F5)),"-")</f>
        <v>-</v>
      </c>
      <c r="I5" s="86">
        <v>1</v>
      </c>
      <c r="J5">
        <v>1</v>
      </c>
      <c r="M5">
        <v>1</v>
      </c>
    </row>
    <row r="6" spans="2:15" x14ac:dyDescent="0.25">
      <c r="B6" s="83">
        <f t="shared" ref="B6:B24" si="1">B5+1</f>
        <v>3</v>
      </c>
      <c r="C6">
        <f t="shared" ref="C6:C24" si="2">IF(F5&gt;0,"-",IF(E6=1,C5-10,C5))</f>
        <v>300</v>
      </c>
      <c r="D6" s="84">
        <f t="shared" ref="D6:D24" si="3">IF(ISNUMBER(C6),TIME(,,C6),"-")</f>
        <v>3.472222222222222E-3</v>
      </c>
      <c r="E6">
        <v>1</v>
      </c>
      <c r="G6" s="82" t="str">
        <f>IF(F6=1,SUM($C$4:C6),IF(F6&gt;0,SUM($C$4:C5,C6*F6),"-"))</f>
        <v>-</v>
      </c>
      <c r="H6" s="84" t="str">
        <f t="shared" si="0"/>
        <v>-</v>
      </c>
      <c r="K6">
        <v>1</v>
      </c>
      <c r="M6">
        <v>1</v>
      </c>
    </row>
    <row r="7" spans="2:15" x14ac:dyDescent="0.25">
      <c r="B7" s="83">
        <f t="shared" si="1"/>
        <v>4</v>
      </c>
      <c r="C7">
        <f t="shared" si="2"/>
        <v>300</v>
      </c>
      <c r="D7" s="84">
        <f t="shared" si="3"/>
        <v>3.472222222222222E-3</v>
      </c>
      <c r="G7" s="82" t="str">
        <f>IF(F7=1,SUM($C$4:C7),IF(F7&gt;0,SUM($C$4:C6,C7*F7),"-"))</f>
        <v>-</v>
      </c>
      <c r="H7" s="84" t="str">
        <f t="shared" si="0"/>
        <v>-</v>
      </c>
      <c r="I7" s="86">
        <v>1</v>
      </c>
      <c r="J7">
        <v>1</v>
      </c>
      <c r="L7">
        <v>1</v>
      </c>
      <c r="M7">
        <v>1</v>
      </c>
    </row>
    <row r="8" spans="2:15" x14ac:dyDescent="0.25">
      <c r="B8" s="83">
        <f t="shared" si="1"/>
        <v>5</v>
      </c>
      <c r="C8">
        <f t="shared" si="2"/>
        <v>300</v>
      </c>
      <c r="D8" s="84">
        <f t="shared" si="3"/>
        <v>3.472222222222222E-3</v>
      </c>
      <c r="G8" s="82" t="str">
        <f>IF(F8=1,SUM($C$4:C8),IF(F8&gt;0,SUM($C$4:C7,C8*F8),"-"))</f>
        <v>-</v>
      </c>
      <c r="H8" s="84" t="str">
        <f t="shared" si="0"/>
        <v>-</v>
      </c>
    </row>
    <row r="9" spans="2:15" x14ac:dyDescent="0.25">
      <c r="B9" s="83">
        <f t="shared" si="1"/>
        <v>6</v>
      </c>
      <c r="C9">
        <f t="shared" si="2"/>
        <v>300</v>
      </c>
      <c r="D9" s="84">
        <f t="shared" si="3"/>
        <v>3.472222222222222E-3</v>
      </c>
      <c r="G9" s="81" t="str">
        <f>IF(F9=1,SUM($C$4:C9),IF(F9&gt;0,SUM($C$4:C8,C9*F9),"-"))</f>
        <v>-</v>
      </c>
      <c r="H9" s="84" t="str">
        <f t="shared" si="0"/>
        <v>-</v>
      </c>
      <c r="J9">
        <v>1</v>
      </c>
      <c r="K9">
        <v>1</v>
      </c>
    </row>
    <row r="10" spans="2:15" x14ac:dyDescent="0.25">
      <c r="B10" s="83">
        <f t="shared" si="1"/>
        <v>7</v>
      </c>
      <c r="C10">
        <f t="shared" si="2"/>
        <v>300</v>
      </c>
      <c r="D10" s="84">
        <f t="shared" si="3"/>
        <v>3.472222222222222E-3</v>
      </c>
      <c r="G10" s="82" t="str">
        <f>IF(F10=1,SUM($C$4:C10),IF(F10&gt;0,SUM($C$4:C9,C10*F10),"-"))</f>
        <v>-</v>
      </c>
      <c r="H10" s="84" t="str">
        <f t="shared" si="0"/>
        <v>-</v>
      </c>
      <c r="L10">
        <v>1</v>
      </c>
    </row>
    <row r="11" spans="2:15" x14ac:dyDescent="0.25">
      <c r="B11" s="83">
        <f t="shared" si="1"/>
        <v>8</v>
      </c>
      <c r="C11">
        <f t="shared" si="2"/>
        <v>300</v>
      </c>
      <c r="D11" s="84">
        <f t="shared" si="3"/>
        <v>3.472222222222222E-3</v>
      </c>
      <c r="F11">
        <v>1</v>
      </c>
      <c r="G11" s="82">
        <f>IF(F11=1,SUM($C$4:C11),IF(F11&gt;0,SUM($C$4:C10,C11*F11),"-"))</f>
        <v>2430</v>
      </c>
      <c r="H11" s="84">
        <f t="shared" si="0"/>
        <v>3.5069444444444445E-3</v>
      </c>
    </row>
    <row r="12" spans="2:15" x14ac:dyDescent="0.25">
      <c r="B12" s="83">
        <f t="shared" si="1"/>
        <v>9</v>
      </c>
      <c r="C12" t="str">
        <f t="shared" si="2"/>
        <v>-</v>
      </c>
      <c r="D12" s="84" t="str">
        <f t="shared" si="3"/>
        <v>-</v>
      </c>
      <c r="G12" s="82" t="str">
        <f>IF(F12=1,SUM($C$4:C12),IF(F12&gt;0,SUM($C$4:C11,C12*F12),"-"))</f>
        <v>-</v>
      </c>
      <c r="H12" s="84" t="str">
        <f t="shared" si="0"/>
        <v>-</v>
      </c>
    </row>
    <row r="13" spans="2:15" x14ac:dyDescent="0.25">
      <c r="B13" s="83">
        <f t="shared" si="1"/>
        <v>10</v>
      </c>
      <c r="C13" t="str">
        <f t="shared" si="2"/>
        <v>-</v>
      </c>
      <c r="D13" s="84" t="str">
        <f t="shared" si="3"/>
        <v>-</v>
      </c>
      <c r="G13" s="82" t="str">
        <f>IF(F13=1,SUM($C$4:C13),IF(F13&gt;0,SUM($C$4:C12,C13*F13),"-"))</f>
        <v>-</v>
      </c>
      <c r="H13" s="84" t="str">
        <f t="shared" si="0"/>
        <v>-</v>
      </c>
      <c r="L13">
        <v>1</v>
      </c>
    </row>
    <row r="14" spans="2:15" x14ac:dyDescent="0.25">
      <c r="B14" s="83">
        <f t="shared" si="1"/>
        <v>11</v>
      </c>
      <c r="C14" t="str">
        <f t="shared" si="2"/>
        <v>-</v>
      </c>
      <c r="D14" s="84" t="str">
        <f t="shared" si="3"/>
        <v>-</v>
      </c>
      <c r="G14" s="82" t="str">
        <f>IF(F14=1,SUM($C$4:C14),IF(F14&gt;0,SUM($C$4:C13,C14*F14),"-"))</f>
        <v>-</v>
      </c>
      <c r="H14" s="84" t="str">
        <f t="shared" si="0"/>
        <v>-</v>
      </c>
    </row>
    <row r="15" spans="2:15" x14ac:dyDescent="0.25">
      <c r="B15" s="83">
        <f t="shared" si="1"/>
        <v>12</v>
      </c>
      <c r="C15" t="str">
        <f t="shared" si="2"/>
        <v>-</v>
      </c>
      <c r="D15" s="84" t="str">
        <f t="shared" si="3"/>
        <v>-</v>
      </c>
      <c r="G15" s="82" t="str">
        <f>IF(F15=1,SUM($C$4:C15),IF(F15&gt;0,SUM($C$4:C14,C15*F15),"-"))</f>
        <v>-</v>
      </c>
      <c r="H15" s="84" t="str">
        <f t="shared" si="0"/>
        <v>-</v>
      </c>
    </row>
    <row r="16" spans="2:15" x14ac:dyDescent="0.25">
      <c r="B16" s="83">
        <f t="shared" si="1"/>
        <v>13</v>
      </c>
      <c r="C16" t="str">
        <f t="shared" si="2"/>
        <v>-</v>
      </c>
      <c r="D16" s="84" t="str">
        <f t="shared" si="3"/>
        <v>-</v>
      </c>
      <c r="G16" s="82" t="str">
        <f>IF(F16=1,SUM($C$4:C16),IF(F16&gt;0,SUM($C$4:C15,C16*F16),"-"))</f>
        <v>-</v>
      </c>
      <c r="H16" s="84" t="str">
        <f t="shared" si="0"/>
        <v>-</v>
      </c>
    </row>
    <row r="17" spans="2:8" x14ac:dyDescent="0.25">
      <c r="B17" s="83">
        <f t="shared" si="1"/>
        <v>14</v>
      </c>
      <c r="C17" t="str">
        <f t="shared" si="2"/>
        <v>-</v>
      </c>
      <c r="D17" s="84" t="str">
        <f t="shared" si="3"/>
        <v>-</v>
      </c>
      <c r="G17" s="82" t="str">
        <f>IF(F17=1,SUM($C$4:C17),IF(F17&gt;0,SUM($C$4:C16,C17*F17),"-"))</f>
        <v>-</v>
      </c>
      <c r="H17" s="84" t="str">
        <f t="shared" si="0"/>
        <v>-</v>
      </c>
    </row>
    <row r="18" spans="2:8" x14ac:dyDescent="0.25">
      <c r="B18" s="83">
        <f t="shared" si="1"/>
        <v>15</v>
      </c>
      <c r="C18" t="str">
        <f t="shared" si="2"/>
        <v>-</v>
      </c>
      <c r="D18" s="84" t="str">
        <f t="shared" si="3"/>
        <v>-</v>
      </c>
      <c r="G18" s="82" t="str">
        <f>IF(F18=1,SUM($C$4:C18),IF(F18&gt;0,SUM($C$4:C17,C18*F18),"-"))</f>
        <v>-</v>
      </c>
      <c r="H18" s="84" t="str">
        <f t="shared" si="0"/>
        <v>-</v>
      </c>
    </row>
    <row r="19" spans="2:8" x14ac:dyDescent="0.25">
      <c r="B19" s="83">
        <f t="shared" si="1"/>
        <v>16</v>
      </c>
      <c r="C19" t="str">
        <f t="shared" si="2"/>
        <v>-</v>
      </c>
      <c r="D19" s="84" t="str">
        <f t="shared" si="3"/>
        <v>-</v>
      </c>
      <c r="G19" s="82" t="str">
        <f>IF(F19=1,SUM($C$4:C19),IF(F19&gt;0,SUM($C$4:C18,C19*F19),"-"))</f>
        <v>-</v>
      </c>
      <c r="H19" s="84" t="str">
        <f t="shared" si="0"/>
        <v>-</v>
      </c>
    </row>
    <row r="20" spans="2:8" x14ac:dyDescent="0.25">
      <c r="B20" s="83">
        <f t="shared" si="1"/>
        <v>17</v>
      </c>
      <c r="C20" t="str">
        <f t="shared" si="2"/>
        <v>-</v>
      </c>
      <c r="D20" s="84" t="str">
        <f t="shared" si="3"/>
        <v>-</v>
      </c>
      <c r="G20" s="82" t="str">
        <f>IF(F20=1,SUM($C$4:C20),IF(F20&gt;0,SUM($C$4:C19,C20*F20),"-"))</f>
        <v>-</v>
      </c>
      <c r="H20" s="84" t="str">
        <f t="shared" si="0"/>
        <v>-</v>
      </c>
    </row>
    <row r="21" spans="2:8" x14ac:dyDescent="0.25">
      <c r="B21" s="83">
        <f t="shared" si="1"/>
        <v>18</v>
      </c>
      <c r="C21" t="str">
        <f t="shared" si="2"/>
        <v>-</v>
      </c>
      <c r="D21" s="84" t="str">
        <f t="shared" si="3"/>
        <v>-</v>
      </c>
      <c r="G21" s="82" t="str">
        <f>IF(F21=1,SUM($C$4:C21),IF(F21&gt;0,SUM($C$4:C20,C21*F21),"-"))</f>
        <v>-</v>
      </c>
      <c r="H21" s="84" t="str">
        <f t="shared" si="0"/>
        <v>-</v>
      </c>
    </row>
    <row r="22" spans="2:8" x14ac:dyDescent="0.25">
      <c r="B22" s="83">
        <f t="shared" si="1"/>
        <v>19</v>
      </c>
      <c r="C22" t="str">
        <f t="shared" si="2"/>
        <v>-</v>
      </c>
      <c r="D22" s="84" t="str">
        <f t="shared" si="3"/>
        <v>-</v>
      </c>
      <c r="G22" s="82" t="str">
        <f>IF(F22=1,SUM($C$4:C22),IF(F22&gt;0,SUM($C$4:C21,C22*F22),"-"))</f>
        <v>-</v>
      </c>
      <c r="H22" s="84" t="str">
        <f t="shared" si="0"/>
        <v>-</v>
      </c>
    </row>
    <row r="23" spans="2:8" x14ac:dyDescent="0.25">
      <c r="B23" s="83">
        <f t="shared" si="1"/>
        <v>20</v>
      </c>
      <c r="C23" t="str">
        <f t="shared" si="2"/>
        <v>-</v>
      </c>
      <c r="D23" s="84" t="str">
        <f t="shared" si="3"/>
        <v>-</v>
      </c>
      <c r="G23" s="82" t="str">
        <f>IF(F23=1,SUM($C$4:C23),IF(F23&gt;0,SUM($C$4:C22,C23*F23),"-"))</f>
        <v>-</v>
      </c>
      <c r="H23" s="84" t="str">
        <f t="shared" si="0"/>
        <v>-</v>
      </c>
    </row>
    <row r="24" spans="2:8" x14ac:dyDescent="0.25">
      <c r="B24" s="83">
        <f t="shared" si="1"/>
        <v>21</v>
      </c>
      <c r="C24" t="str">
        <f t="shared" si="2"/>
        <v>-</v>
      </c>
      <c r="D24" s="84" t="str">
        <f t="shared" si="3"/>
        <v>-</v>
      </c>
      <c r="G24" s="82" t="str">
        <f>IF(F24=1,SUM($C$4:C24),IF(F24&gt;0,SUM($C$4:C23,C24*F24),"-"))</f>
        <v>-</v>
      </c>
      <c r="H24" s="84" t="str">
        <f t="shared" si="0"/>
        <v>-</v>
      </c>
    </row>
  </sheetData>
  <conditionalFormatting sqref="D4:D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7907-2FCE-4913-97DF-8B962B595864}">
  <sheetPr>
    <tabColor theme="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2EFA-A0F7-4DF4-A38A-7ACE3C7D6B1B}">
  <dimension ref="B2:P32"/>
  <sheetViews>
    <sheetView showGridLines="0" topLeftCell="B1" workbookViewId="0">
      <pane ySplit="3" topLeftCell="A4" activePane="bottomLeft" state="frozen"/>
      <selection activeCell="F1" sqref="F1"/>
      <selection pane="bottomLeft" activeCell="W27" sqref="W27"/>
    </sheetView>
  </sheetViews>
  <sheetFormatPr defaultRowHeight="15" outlineLevelRow="1" outlineLevelCol="1" x14ac:dyDescent="0.25"/>
  <cols>
    <col min="1" max="1" width="2.7109375" customWidth="1"/>
    <col min="2" max="8" width="11.7109375" style="59" customWidth="1"/>
    <col min="9" max="10" width="9.140625" hidden="1" customWidth="1" outlineLevel="1"/>
    <col min="11" max="11" width="9.140625" style="2" hidden="1" customWidth="1" outlineLevel="1"/>
    <col min="12" max="12" width="9.140625" style="1" hidden="1" customWidth="1" outlineLevel="1"/>
    <col min="13" max="13" width="9.140625" collapsed="1"/>
  </cols>
  <sheetData>
    <row r="2" spans="2:12" s="4" customFormat="1" hidden="1" outlineLevel="1" x14ac:dyDescent="0.25">
      <c r="B2" s="54"/>
      <c r="C2" s="54"/>
      <c r="D2" s="54"/>
      <c r="E2" s="54"/>
      <c r="F2" s="54" t="s">
        <v>258</v>
      </c>
      <c r="G2" s="62">
        <v>1.60934</v>
      </c>
      <c r="H2" s="63"/>
      <c r="I2" s="4" t="s">
        <v>262</v>
      </c>
      <c r="K2" s="66"/>
      <c r="L2" s="53" t="s">
        <v>258</v>
      </c>
    </row>
    <row r="3" spans="2:12" s="4" customFormat="1" collapsed="1" x14ac:dyDescent="0.25">
      <c r="B3" s="60">
        <v>42.195</v>
      </c>
      <c r="C3" s="61">
        <f>B3/2</f>
        <v>21.0975</v>
      </c>
      <c r="D3" s="55">
        <v>10</v>
      </c>
      <c r="E3" s="55">
        <v>5</v>
      </c>
      <c r="F3" s="54" t="s">
        <v>270</v>
      </c>
      <c r="G3" s="54" t="s">
        <v>271</v>
      </c>
      <c r="H3" s="54" t="s">
        <v>272</v>
      </c>
      <c r="I3" s="4" t="s">
        <v>261</v>
      </c>
      <c r="J3" s="4" t="s">
        <v>214</v>
      </c>
      <c r="K3" s="66" t="s">
        <v>196</v>
      </c>
      <c r="L3" s="53" t="s">
        <v>260</v>
      </c>
    </row>
    <row r="4" spans="2:12" x14ac:dyDescent="0.25">
      <c r="B4" s="56" t="s">
        <v>227</v>
      </c>
      <c r="C4" s="57">
        <f t="shared" ref="C4:E8" si="0">TIME(0,$L4*C$3,0)</f>
        <v>0.10416666666666667</v>
      </c>
      <c r="D4" s="57">
        <f t="shared" si="0"/>
        <v>4.9305555555555554E-2</v>
      </c>
      <c r="E4" s="57">
        <f t="shared" si="0"/>
        <v>2.4305555555555556E-2</v>
      </c>
      <c r="F4" s="58">
        <f>TIME(,,K4/$B$3*60)</f>
        <v>4.9305555555555552E-3</v>
      </c>
      <c r="G4" s="58">
        <f t="shared" ref="G4:G25" si="1">TIME(,,L4*$G$2*60)</f>
        <v>7.9398148148148145E-3</v>
      </c>
      <c r="H4" s="64">
        <f>60/L4</f>
        <v>8.4390000000000001</v>
      </c>
      <c r="I4" s="5" t="str">
        <f>_xlfn.TEXTBEFORE(B4,":")</f>
        <v>05</v>
      </c>
      <c r="J4" s="5" t="str">
        <f>_xlfn.TEXTAFTER(B4,":")</f>
        <v>00</v>
      </c>
      <c r="K4" s="2">
        <f>I4*60+J4</f>
        <v>300</v>
      </c>
      <c r="L4" s="1">
        <f>K4/$B$3</f>
        <v>7.1098471382865265</v>
      </c>
    </row>
    <row r="5" spans="2:12" x14ac:dyDescent="0.25">
      <c r="B5" s="56" t="s">
        <v>259</v>
      </c>
      <c r="C5" s="57">
        <f t="shared" si="0"/>
        <v>9.375E-2</v>
      </c>
      <c r="D5" s="57">
        <f t="shared" si="0"/>
        <v>4.3749999999999997E-2</v>
      </c>
      <c r="E5" s="57">
        <f t="shared" si="0"/>
        <v>2.1527777777777778E-2</v>
      </c>
      <c r="F5" s="58">
        <f t="shared" ref="F5:F8" si="2">TIME(,,K5/$B$3*60)</f>
        <v>4.43287037037037E-3</v>
      </c>
      <c r="G5" s="58">
        <f t="shared" si="1"/>
        <v>7.1412037037037034E-3</v>
      </c>
      <c r="H5" s="64">
        <f t="shared" ref="H5:H25" si="3">60/L5</f>
        <v>9.3766666666666669</v>
      </c>
      <c r="I5" s="5" t="str">
        <f>_xlfn.TEXTBEFORE(B5,":")</f>
        <v>04</v>
      </c>
      <c r="J5" s="5" t="str">
        <f>_xlfn.TEXTAFTER(B5,":")</f>
        <v>30</v>
      </c>
      <c r="K5" s="2">
        <f t="shared" ref="K5:K8" si="4">I5*60+J5</f>
        <v>270</v>
      </c>
      <c r="L5" s="1">
        <f t="shared" ref="L5:L8" si="5">K5/$B$3</f>
        <v>6.3988624244578745</v>
      </c>
    </row>
    <row r="6" spans="2:12" x14ac:dyDescent="0.25">
      <c r="B6" s="56" t="s">
        <v>256</v>
      </c>
      <c r="C6" s="57">
        <f t="shared" si="0"/>
        <v>8.3333333333333329E-2</v>
      </c>
      <c r="D6" s="57">
        <f t="shared" si="0"/>
        <v>3.888888888888889E-2</v>
      </c>
      <c r="E6" s="57">
        <f t="shared" si="0"/>
        <v>1.9444444444444445E-2</v>
      </c>
      <c r="F6" s="58">
        <f t="shared" si="2"/>
        <v>3.9467592592592592E-3</v>
      </c>
      <c r="G6" s="58">
        <f t="shared" si="1"/>
        <v>6.3541666666666668E-3</v>
      </c>
      <c r="H6" s="64">
        <f t="shared" si="3"/>
        <v>10.54875</v>
      </c>
      <c r="I6" s="5" t="str">
        <f>_xlfn.TEXTBEFORE(B6,":")</f>
        <v>04</v>
      </c>
      <c r="J6" s="5" t="str">
        <f>_xlfn.TEXTAFTER(B6,":")</f>
        <v>00</v>
      </c>
      <c r="K6" s="2">
        <f t="shared" si="4"/>
        <v>240</v>
      </c>
      <c r="L6" s="1">
        <f t="shared" si="5"/>
        <v>5.6878777106292215</v>
      </c>
    </row>
    <row r="7" spans="2:12" x14ac:dyDescent="0.25">
      <c r="B7" s="56" t="s">
        <v>239</v>
      </c>
      <c r="C7" s="57">
        <f t="shared" si="0"/>
        <v>7.2916666666666671E-2</v>
      </c>
      <c r="D7" s="57">
        <f t="shared" si="0"/>
        <v>3.4027777777777775E-2</v>
      </c>
      <c r="E7" s="57">
        <f t="shared" si="0"/>
        <v>1.6666666666666666E-2</v>
      </c>
      <c r="F7" s="58">
        <f t="shared" si="2"/>
        <v>3.449074074074074E-3</v>
      </c>
      <c r="G7" s="58">
        <f t="shared" si="1"/>
        <v>5.5555555555555558E-3</v>
      </c>
      <c r="H7" s="64">
        <f t="shared" si="3"/>
        <v>12.055714285714286</v>
      </c>
      <c r="I7" s="5" t="str">
        <f>_xlfn.TEXTBEFORE(B7,":")</f>
        <v>03</v>
      </c>
      <c r="J7" s="5" t="str">
        <f>_xlfn.TEXTAFTER(B7,":")</f>
        <v>30</v>
      </c>
      <c r="K7" s="2">
        <f t="shared" si="4"/>
        <v>210</v>
      </c>
      <c r="L7" s="1">
        <f t="shared" si="5"/>
        <v>4.9768929968005686</v>
      </c>
    </row>
    <row r="8" spans="2:12" x14ac:dyDescent="0.25">
      <c r="B8" s="56" t="s">
        <v>235</v>
      </c>
      <c r="C8" s="57">
        <f t="shared" si="0"/>
        <v>6.25E-2</v>
      </c>
      <c r="D8" s="57">
        <f t="shared" si="0"/>
        <v>2.9166666666666667E-2</v>
      </c>
      <c r="E8" s="57">
        <f t="shared" si="0"/>
        <v>1.4583333333333334E-2</v>
      </c>
      <c r="F8" s="58">
        <f t="shared" si="2"/>
        <v>2.9513888888888888E-3</v>
      </c>
      <c r="G8" s="58">
        <f t="shared" si="1"/>
        <v>4.7569444444444447E-3</v>
      </c>
      <c r="H8" s="64">
        <f t="shared" si="3"/>
        <v>14.065000000000001</v>
      </c>
      <c r="I8" s="5" t="str">
        <f>_xlfn.TEXTBEFORE(B8,":")</f>
        <v>03</v>
      </c>
      <c r="J8" s="5" t="str">
        <f>_xlfn.TEXTAFTER(B8,":")</f>
        <v>00</v>
      </c>
      <c r="K8" s="2">
        <f t="shared" si="4"/>
        <v>180</v>
      </c>
      <c r="L8" s="1">
        <f t="shared" si="5"/>
        <v>4.2659082829719157</v>
      </c>
    </row>
    <row r="9" spans="2:12" s="74" customFormat="1" x14ac:dyDescent="0.25">
      <c r="B9" s="67">
        <f t="shared" ref="B9:B25" si="6">TIME(0,$L9*B$3,0)</f>
        <v>0.15277777777777779</v>
      </c>
      <c r="C9" s="68" t="s">
        <v>712</v>
      </c>
      <c r="D9" s="67">
        <f>TIME(0,$L9*D$3,0)</f>
        <v>3.6111111111111108E-2</v>
      </c>
      <c r="E9" s="67">
        <f>TIME(0,$L9*E$3,0)</f>
        <v>1.8055555555555554E-2</v>
      </c>
      <c r="F9" s="69">
        <f>TIME(,,K9/$C$3*60)</f>
        <v>3.6111111111111109E-3</v>
      </c>
      <c r="G9" s="69">
        <f t="shared" si="1"/>
        <v>5.8217592592592592E-3</v>
      </c>
      <c r="H9" s="70">
        <f t="shared" si="3"/>
        <v>11.507727272727273</v>
      </c>
      <c r="I9" s="71" t="str">
        <f>_xlfn.TEXTBEFORE(C9,":")</f>
        <v>01</v>
      </c>
      <c r="J9" s="71" t="str">
        <f>_xlfn.TEXTAFTER(C9,":")</f>
        <v>50</v>
      </c>
      <c r="K9" s="72">
        <f t="shared" ref="K9:K10" si="7">I9*60+J9</f>
        <v>110</v>
      </c>
      <c r="L9" s="73">
        <f>K9/$C$3</f>
        <v>5.2138879014101196</v>
      </c>
    </row>
    <row r="10" spans="2:12" x14ac:dyDescent="0.25">
      <c r="B10" s="57">
        <f t="shared" si="6"/>
        <v>0.21944444444444444</v>
      </c>
      <c r="C10" s="57">
        <f t="shared" ref="C10:C25" si="8">TIME(0,$L10*C$3,0)</f>
        <v>0.10972222222222222</v>
      </c>
      <c r="D10" s="56" t="s">
        <v>265</v>
      </c>
      <c r="E10" s="57">
        <f t="shared" ref="E10:E17" si="9">TIME(0,$L10*E$3,0)</f>
        <v>2.5694444444444443E-2</v>
      </c>
      <c r="F10" s="58">
        <f>TIME(,,K10/$D$3*60)</f>
        <v>5.208333333333333E-3</v>
      </c>
      <c r="G10" s="58">
        <f t="shared" si="1"/>
        <v>8.3796296296296292E-3</v>
      </c>
      <c r="H10" s="64">
        <f t="shared" si="3"/>
        <v>8</v>
      </c>
      <c r="I10" s="5" t="str">
        <f>_xlfn.TEXTBEFORE(D10,":")</f>
        <v>01</v>
      </c>
      <c r="J10" s="5" t="str">
        <f>_xlfn.TEXTAFTER(D10,":")</f>
        <v>15</v>
      </c>
      <c r="K10" s="2">
        <f t="shared" si="7"/>
        <v>75</v>
      </c>
      <c r="L10" s="1">
        <f>K10/$D$3</f>
        <v>7.5</v>
      </c>
    </row>
    <row r="11" spans="2:12" x14ac:dyDescent="0.25">
      <c r="B11" s="57">
        <f t="shared" si="6"/>
        <v>0.2048611111111111</v>
      </c>
      <c r="C11" s="57">
        <f t="shared" si="8"/>
        <v>0.10208333333333333</v>
      </c>
      <c r="D11" s="56" t="s">
        <v>266</v>
      </c>
      <c r="E11" s="57">
        <f t="shared" si="9"/>
        <v>2.4305555555555556E-2</v>
      </c>
      <c r="F11" s="58">
        <f t="shared" ref="F11:F17" si="10">TIME(,,K11/$D$3*60)</f>
        <v>4.8611111111111112E-3</v>
      </c>
      <c r="G11" s="58">
        <f t="shared" si="1"/>
        <v>7.8125E-3</v>
      </c>
      <c r="H11" s="64">
        <f t="shared" si="3"/>
        <v>8.5714285714285712</v>
      </c>
      <c r="I11" s="5" t="str">
        <f t="shared" ref="I11:I17" si="11">_xlfn.TEXTBEFORE(D11,":")</f>
        <v>01</v>
      </c>
      <c r="J11" s="5" t="str">
        <f t="shared" ref="J11:J17" si="12">_xlfn.TEXTAFTER(D11,":")</f>
        <v>10</v>
      </c>
      <c r="K11" s="2">
        <f t="shared" ref="K11:K17" si="13">I11*60+J11</f>
        <v>70</v>
      </c>
      <c r="L11" s="1">
        <f t="shared" ref="L11:L17" si="14">K11/$D$3</f>
        <v>7</v>
      </c>
    </row>
    <row r="12" spans="2:12" x14ac:dyDescent="0.25">
      <c r="B12" s="57">
        <f t="shared" si="6"/>
        <v>0.19027777777777777</v>
      </c>
      <c r="C12" s="57">
        <f t="shared" si="8"/>
        <v>9.5138888888888884E-2</v>
      </c>
      <c r="D12" s="56" t="s">
        <v>267</v>
      </c>
      <c r="E12" s="57">
        <f t="shared" si="9"/>
        <v>2.2222222222222223E-2</v>
      </c>
      <c r="F12" s="58">
        <f t="shared" si="10"/>
        <v>4.5138888888888885E-3</v>
      </c>
      <c r="G12" s="58">
        <f t="shared" si="1"/>
        <v>7.2569444444444443E-3</v>
      </c>
      <c r="H12" s="64">
        <f t="shared" si="3"/>
        <v>9.2307692307692299</v>
      </c>
      <c r="I12" s="5" t="str">
        <f t="shared" si="11"/>
        <v>01</v>
      </c>
      <c r="J12" s="5" t="str">
        <f t="shared" si="12"/>
        <v>05</v>
      </c>
      <c r="K12" s="2">
        <f t="shared" si="13"/>
        <v>65</v>
      </c>
      <c r="L12" s="1">
        <f t="shared" si="14"/>
        <v>6.5</v>
      </c>
    </row>
    <row r="13" spans="2:12" x14ac:dyDescent="0.25">
      <c r="B13" s="57">
        <f t="shared" si="6"/>
        <v>0.17569444444444443</v>
      </c>
      <c r="C13" s="57">
        <f t="shared" si="8"/>
        <v>8.7499999999999994E-2</v>
      </c>
      <c r="D13" s="56" t="s">
        <v>225</v>
      </c>
      <c r="E13" s="57">
        <f t="shared" si="9"/>
        <v>2.0833333333333332E-2</v>
      </c>
      <c r="F13" s="58">
        <f t="shared" si="10"/>
        <v>4.1666666666666666E-3</v>
      </c>
      <c r="G13" s="58">
        <f t="shared" si="1"/>
        <v>6.7013888888888887E-3</v>
      </c>
      <c r="H13" s="64">
        <f t="shared" si="3"/>
        <v>10</v>
      </c>
      <c r="I13" s="5" t="str">
        <f t="shared" si="11"/>
        <v>01</v>
      </c>
      <c r="J13" s="5" t="str">
        <f t="shared" si="12"/>
        <v>00</v>
      </c>
      <c r="K13" s="2">
        <f t="shared" si="13"/>
        <v>60</v>
      </c>
      <c r="L13" s="1">
        <f t="shared" si="14"/>
        <v>6</v>
      </c>
    </row>
    <row r="14" spans="2:12" s="150" customFormat="1" x14ac:dyDescent="0.25">
      <c r="B14" s="143">
        <f t="shared" si="6"/>
        <v>0.16388888888888889</v>
      </c>
      <c r="C14" s="143">
        <f t="shared" si="8"/>
        <v>8.1944444444444445E-2</v>
      </c>
      <c r="D14" s="144" t="s">
        <v>666</v>
      </c>
      <c r="E14" s="143">
        <f t="shared" si="9"/>
        <v>1.9444444444444445E-2</v>
      </c>
      <c r="F14" s="145">
        <f t="shared" si="10"/>
        <v>3.8888888888888888E-3</v>
      </c>
      <c r="G14" s="145">
        <f t="shared" si="1"/>
        <v>6.2500000000000003E-3</v>
      </c>
      <c r="H14" s="146">
        <f t="shared" si="3"/>
        <v>10.714285714285715</v>
      </c>
      <c r="I14" s="147" t="str">
        <f t="shared" si="11"/>
        <v>00</v>
      </c>
      <c r="J14" s="147" t="str">
        <f t="shared" si="12"/>
        <v>56</v>
      </c>
      <c r="K14" s="148">
        <f t="shared" si="13"/>
        <v>56</v>
      </c>
      <c r="L14" s="149">
        <f t="shared" si="14"/>
        <v>5.6</v>
      </c>
    </row>
    <row r="15" spans="2:12" x14ac:dyDescent="0.25">
      <c r="B15" s="57">
        <f t="shared" si="6"/>
        <v>0.14583333333333334</v>
      </c>
      <c r="C15" s="57">
        <f t="shared" si="8"/>
        <v>7.2916666666666671E-2</v>
      </c>
      <c r="D15" s="56" t="s">
        <v>268</v>
      </c>
      <c r="E15" s="57">
        <f t="shared" si="9"/>
        <v>1.7361111111111112E-2</v>
      </c>
      <c r="F15" s="58">
        <f t="shared" si="10"/>
        <v>3.472222222222222E-3</v>
      </c>
      <c r="G15" s="58">
        <f t="shared" si="1"/>
        <v>5.5787037037037038E-3</v>
      </c>
      <c r="H15" s="64">
        <f t="shared" si="3"/>
        <v>12</v>
      </c>
      <c r="I15" s="5" t="str">
        <f t="shared" si="11"/>
        <v>00</v>
      </c>
      <c r="J15" s="5" t="str">
        <f t="shared" si="12"/>
        <v>50</v>
      </c>
      <c r="K15" s="2">
        <f t="shared" si="13"/>
        <v>50</v>
      </c>
      <c r="L15" s="1">
        <f t="shared" si="14"/>
        <v>5</v>
      </c>
    </row>
    <row r="16" spans="2:12" s="74" customFormat="1" x14ac:dyDescent="0.25">
      <c r="B16" s="67">
        <f t="shared" si="6"/>
        <v>0.13125000000000001</v>
      </c>
      <c r="C16" s="67">
        <f t="shared" si="8"/>
        <v>6.5277777777777782E-2</v>
      </c>
      <c r="D16" s="68" t="s">
        <v>229</v>
      </c>
      <c r="E16" s="67">
        <f t="shared" si="9"/>
        <v>1.5277777777777777E-2</v>
      </c>
      <c r="F16" s="69">
        <f t="shared" si="10"/>
        <v>3.1250000000000002E-3</v>
      </c>
      <c r="G16" s="69">
        <f t="shared" si="1"/>
        <v>5.0231481481481481E-3</v>
      </c>
      <c r="H16" s="70">
        <f t="shared" si="3"/>
        <v>13.333333333333334</v>
      </c>
      <c r="I16" s="71" t="str">
        <f t="shared" si="11"/>
        <v>00</v>
      </c>
      <c r="J16" s="71" t="str">
        <f t="shared" si="12"/>
        <v>45</v>
      </c>
      <c r="K16" s="72">
        <f t="shared" si="13"/>
        <v>45</v>
      </c>
      <c r="L16" s="73">
        <f t="shared" si="14"/>
        <v>4.5</v>
      </c>
    </row>
    <row r="17" spans="2:16" x14ac:dyDescent="0.25">
      <c r="B17" s="57">
        <f t="shared" si="6"/>
        <v>0.11666666666666667</v>
      </c>
      <c r="C17" s="57">
        <f t="shared" si="8"/>
        <v>5.8333333333333334E-2</v>
      </c>
      <c r="D17" s="56" t="s">
        <v>269</v>
      </c>
      <c r="E17" s="57">
        <f t="shared" si="9"/>
        <v>1.3888888888888888E-2</v>
      </c>
      <c r="F17" s="58">
        <f t="shared" si="10"/>
        <v>2.7777777777777779E-3</v>
      </c>
      <c r="G17" s="58">
        <f t="shared" si="1"/>
        <v>4.4675925925925924E-3</v>
      </c>
      <c r="H17" s="64">
        <f t="shared" si="3"/>
        <v>15</v>
      </c>
      <c r="I17" s="5" t="str">
        <f t="shared" si="11"/>
        <v>00</v>
      </c>
      <c r="J17" s="5" t="str">
        <f t="shared" si="12"/>
        <v>40</v>
      </c>
      <c r="K17" s="2">
        <f t="shared" si="13"/>
        <v>40</v>
      </c>
      <c r="L17" s="1">
        <f t="shared" si="14"/>
        <v>4</v>
      </c>
    </row>
    <row r="18" spans="2:16" x14ac:dyDescent="0.25">
      <c r="B18" s="57">
        <f t="shared" si="6"/>
        <v>0.14583333333333334</v>
      </c>
      <c r="C18" s="57">
        <f t="shared" si="8"/>
        <v>7.2916666666666671E-2</v>
      </c>
      <c r="D18" s="57">
        <f t="shared" ref="D18:D25" si="15">TIME(0,$L18*D$3,0)</f>
        <v>3.4722222222222224E-2</v>
      </c>
      <c r="E18" s="56" t="s">
        <v>263</v>
      </c>
      <c r="F18" s="58">
        <f>TIME(,,K18/$E$3*60)</f>
        <v>3.472222222222222E-3</v>
      </c>
      <c r="G18" s="58">
        <f t="shared" si="1"/>
        <v>5.5787037037037038E-3</v>
      </c>
      <c r="H18" s="64">
        <f t="shared" si="3"/>
        <v>12</v>
      </c>
      <c r="I18" s="5" t="str">
        <f>_xlfn.TEXTBEFORE(E18,":")</f>
        <v>00</v>
      </c>
      <c r="J18" s="5" t="str">
        <f>_xlfn.TEXTAFTER(E18,":")</f>
        <v>25</v>
      </c>
      <c r="K18" s="2">
        <f t="shared" ref="K18" si="16">I18*60+J18</f>
        <v>25</v>
      </c>
      <c r="L18" s="1">
        <f>K18/$E$3</f>
        <v>5</v>
      </c>
    </row>
    <row r="19" spans="2:16" x14ac:dyDescent="0.25">
      <c r="B19" s="57">
        <f t="shared" si="6"/>
        <v>0.21041666666666667</v>
      </c>
      <c r="C19" s="57">
        <f t="shared" si="8"/>
        <v>0.10486111111111111</v>
      </c>
      <c r="D19" s="57">
        <f t="shared" si="15"/>
        <v>0.05</v>
      </c>
      <c r="E19" s="57">
        <f t="shared" ref="E19:E25" si="17">TIME(0,$L19*E$3,0)</f>
        <v>2.5000000000000001E-2</v>
      </c>
      <c r="F19" s="56" t="s">
        <v>643</v>
      </c>
      <c r="G19" s="58">
        <f t="shared" si="1"/>
        <v>8.0439814814814818E-3</v>
      </c>
      <c r="H19" s="64">
        <f t="shared" si="3"/>
        <v>8.3333333333333339</v>
      </c>
      <c r="I19" s="5" t="str">
        <f t="shared" ref="I19:I25" si="18">_xlfn.TEXTBEFORE(F19,":")</f>
        <v>07</v>
      </c>
      <c r="J19" s="5" t="str">
        <f t="shared" ref="J19:J25" si="19">_xlfn.TEXTAFTER(F19,":")</f>
        <v>12</v>
      </c>
      <c r="K19" s="2">
        <f t="shared" ref="K19" si="20">I19*60+J19</f>
        <v>432</v>
      </c>
      <c r="L19" s="1">
        <f>K19/60</f>
        <v>7.2</v>
      </c>
    </row>
    <row r="20" spans="2:16" x14ac:dyDescent="0.25">
      <c r="B20" s="57">
        <f t="shared" si="6"/>
        <v>0.19027777777777777</v>
      </c>
      <c r="C20" s="57">
        <f t="shared" si="8"/>
        <v>9.5138888888888884E-2</v>
      </c>
      <c r="D20" s="57">
        <f t="shared" si="15"/>
        <v>4.5138888888888888E-2</v>
      </c>
      <c r="E20" s="57">
        <f t="shared" si="17"/>
        <v>2.2222222222222223E-2</v>
      </c>
      <c r="F20" s="56" t="s">
        <v>264</v>
      </c>
      <c r="G20" s="58">
        <f t="shared" si="1"/>
        <v>7.2569444444444443E-3</v>
      </c>
      <c r="H20" s="64">
        <f t="shared" si="3"/>
        <v>9.2307692307692299</v>
      </c>
      <c r="I20" s="5" t="str">
        <f t="shared" si="18"/>
        <v>06</v>
      </c>
      <c r="J20" s="5" t="str">
        <f t="shared" si="19"/>
        <v>30</v>
      </c>
      <c r="K20" s="2">
        <f t="shared" ref="K20:K25" si="21">I20*60+J20</f>
        <v>390</v>
      </c>
      <c r="L20" s="1">
        <f t="shared" ref="L20:L25" si="22">K20/60</f>
        <v>6.5</v>
      </c>
    </row>
    <row r="21" spans="2:16" x14ac:dyDescent="0.25">
      <c r="B21" s="57">
        <f t="shared" si="6"/>
        <v>0.18194444444444444</v>
      </c>
      <c r="C21" s="57">
        <f t="shared" si="8"/>
        <v>9.0972222222222218E-2</v>
      </c>
      <c r="D21" s="57">
        <f t="shared" si="15"/>
        <v>4.3055555555555555E-2</v>
      </c>
      <c r="E21" s="57">
        <f t="shared" si="17"/>
        <v>2.1527777777777778E-2</v>
      </c>
      <c r="F21" s="56" t="s">
        <v>642</v>
      </c>
      <c r="G21" s="58">
        <f t="shared" si="1"/>
        <v>6.9444444444444441E-3</v>
      </c>
      <c r="H21" s="64">
        <f t="shared" si="3"/>
        <v>9.6514745308310985</v>
      </c>
      <c r="I21" s="5" t="str">
        <f t="shared" si="18"/>
        <v>06</v>
      </c>
      <c r="J21" s="5" t="str">
        <f t="shared" si="19"/>
        <v>13</v>
      </c>
      <c r="K21" s="2">
        <f t="shared" si="21"/>
        <v>373</v>
      </c>
      <c r="L21" s="1">
        <f t="shared" si="22"/>
        <v>6.2166666666666668</v>
      </c>
    </row>
    <row r="22" spans="2:16" x14ac:dyDescent="0.25">
      <c r="B22" s="57">
        <f t="shared" si="6"/>
        <v>0.16388888888888889</v>
      </c>
      <c r="C22" s="57">
        <f t="shared" si="8"/>
        <v>8.1944444444444445E-2</v>
      </c>
      <c r="D22" s="57">
        <f t="shared" si="15"/>
        <v>3.888888888888889E-2</v>
      </c>
      <c r="E22" s="57">
        <f t="shared" si="17"/>
        <v>1.9444444444444445E-2</v>
      </c>
      <c r="F22" s="56" t="s">
        <v>644</v>
      </c>
      <c r="G22" s="58">
        <f t="shared" si="1"/>
        <v>6.2500000000000003E-3</v>
      </c>
      <c r="H22" s="64">
        <f t="shared" si="3"/>
        <v>10.714285714285715</v>
      </c>
      <c r="I22" s="5" t="str">
        <f t="shared" si="18"/>
        <v>05</v>
      </c>
      <c r="J22" s="5" t="str">
        <f t="shared" si="19"/>
        <v>36</v>
      </c>
      <c r="K22" s="2">
        <f t="shared" si="21"/>
        <v>336</v>
      </c>
      <c r="L22" s="1">
        <f t="shared" si="22"/>
        <v>5.6</v>
      </c>
    </row>
    <row r="23" spans="2:16" x14ac:dyDescent="0.25">
      <c r="B23" s="57">
        <f t="shared" si="6"/>
        <v>0.15625</v>
      </c>
      <c r="C23" s="57">
        <f t="shared" si="8"/>
        <v>7.7777777777777779E-2</v>
      </c>
      <c r="D23" s="57">
        <f t="shared" si="15"/>
        <v>3.6805555555555557E-2</v>
      </c>
      <c r="E23" s="57">
        <f t="shared" si="17"/>
        <v>1.8055555555555554E-2</v>
      </c>
      <c r="F23" s="56" t="s">
        <v>273</v>
      </c>
      <c r="G23" s="58">
        <f t="shared" si="1"/>
        <v>5.9490740740740745E-3</v>
      </c>
      <c r="H23" s="64">
        <f t="shared" si="3"/>
        <v>11.25</v>
      </c>
      <c r="I23" s="5" t="str">
        <f t="shared" si="18"/>
        <v>05</v>
      </c>
      <c r="J23" s="5" t="str">
        <f t="shared" si="19"/>
        <v>20</v>
      </c>
      <c r="K23" s="2">
        <f t="shared" si="21"/>
        <v>320</v>
      </c>
      <c r="L23" s="1">
        <f t="shared" si="22"/>
        <v>5.333333333333333</v>
      </c>
    </row>
    <row r="24" spans="2:16" x14ac:dyDescent="0.25">
      <c r="B24" s="57">
        <f t="shared" si="6"/>
        <v>0.13125000000000001</v>
      </c>
      <c r="C24" s="57">
        <f t="shared" si="8"/>
        <v>6.5277777777777782E-2</v>
      </c>
      <c r="D24" s="57">
        <f t="shared" si="15"/>
        <v>3.125E-2</v>
      </c>
      <c r="E24" s="57">
        <f t="shared" si="17"/>
        <v>1.5277777777777777E-2</v>
      </c>
      <c r="F24" s="56" t="s">
        <v>259</v>
      </c>
      <c r="G24" s="58">
        <f t="shared" si="1"/>
        <v>5.0231481481481481E-3</v>
      </c>
      <c r="H24" s="64">
        <f t="shared" si="3"/>
        <v>13.333333333333334</v>
      </c>
      <c r="I24" s="5" t="str">
        <f t="shared" si="18"/>
        <v>04</v>
      </c>
      <c r="J24" s="5" t="str">
        <f t="shared" si="19"/>
        <v>30</v>
      </c>
      <c r="K24" s="2">
        <f t="shared" si="21"/>
        <v>270</v>
      </c>
      <c r="L24" s="1">
        <f t="shared" si="22"/>
        <v>4.5</v>
      </c>
    </row>
    <row r="25" spans="2:16" x14ac:dyDescent="0.25">
      <c r="B25" s="57">
        <f t="shared" si="6"/>
        <v>0.11666666666666667</v>
      </c>
      <c r="C25" s="57">
        <f t="shared" si="8"/>
        <v>5.8333333333333334E-2</v>
      </c>
      <c r="D25" s="57">
        <f t="shared" si="15"/>
        <v>2.7777777777777776E-2</v>
      </c>
      <c r="E25" s="57">
        <f t="shared" si="17"/>
        <v>1.3888888888888888E-2</v>
      </c>
      <c r="F25" s="56" t="s">
        <v>256</v>
      </c>
      <c r="G25" s="58">
        <f t="shared" si="1"/>
        <v>4.4675925925925924E-3</v>
      </c>
      <c r="H25" s="64">
        <f t="shared" si="3"/>
        <v>15</v>
      </c>
      <c r="I25" s="5" t="str">
        <f t="shared" si="18"/>
        <v>04</v>
      </c>
      <c r="J25" s="5" t="str">
        <f t="shared" si="19"/>
        <v>00</v>
      </c>
      <c r="K25" s="2">
        <f t="shared" si="21"/>
        <v>240</v>
      </c>
      <c r="L25" s="1">
        <f t="shared" si="22"/>
        <v>4</v>
      </c>
    </row>
    <row r="26" spans="2:16" x14ac:dyDescent="0.25">
      <c r="B26" s="57">
        <f t="shared" ref="B26:E32" si="23">TIME(0,$L26*B$3,0)</f>
        <v>0.13472222222222222</v>
      </c>
      <c r="C26" s="57">
        <f t="shared" si="23"/>
        <v>6.7361111111111108E-2</v>
      </c>
      <c r="D26" s="57">
        <f t="shared" si="23"/>
        <v>3.1944444444444442E-2</v>
      </c>
      <c r="E26" s="57">
        <f t="shared" si="23"/>
        <v>1.5972222222222221E-2</v>
      </c>
      <c r="F26" s="58">
        <f t="shared" ref="F26:F32" si="24">TIME(,,L26*60)</f>
        <v>3.1944444444444446E-3</v>
      </c>
      <c r="G26" s="58">
        <f t="shared" ref="G26:G32" si="25">TIME(,,L26*$G$2*60)</f>
        <v>5.1504629629629626E-3</v>
      </c>
      <c r="H26" s="65">
        <v>13</v>
      </c>
      <c r="I26" s="5"/>
      <c r="J26" s="5"/>
      <c r="K26" s="2">
        <f t="shared" ref="K26:K32" si="26">L26*60</f>
        <v>276.92307692307691</v>
      </c>
      <c r="L26" s="1">
        <f t="shared" ref="L26:L32" si="27">60/H26</f>
        <v>4.615384615384615</v>
      </c>
    </row>
    <row r="27" spans="2:16" x14ac:dyDescent="0.25">
      <c r="B27" s="57">
        <f t="shared" si="23"/>
        <v>0.14027777777777778</v>
      </c>
      <c r="C27" s="57">
        <f t="shared" si="23"/>
        <v>7.013888888888889E-2</v>
      </c>
      <c r="D27" s="57">
        <f t="shared" si="23"/>
        <v>3.3333333333333333E-2</v>
      </c>
      <c r="E27" s="57">
        <f t="shared" si="23"/>
        <v>1.6666666666666666E-2</v>
      </c>
      <c r="F27" s="58">
        <f t="shared" si="24"/>
        <v>3.3333333333333335E-3</v>
      </c>
      <c r="G27" s="58">
        <f t="shared" si="25"/>
        <v>5.3587962962962964E-3</v>
      </c>
      <c r="H27" s="65">
        <v>12.5</v>
      </c>
      <c r="I27" s="5"/>
      <c r="J27" s="5"/>
      <c r="K27" s="2">
        <f t="shared" si="26"/>
        <v>288</v>
      </c>
      <c r="L27" s="1">
        <f t="shared" si="27"/>
        <v>4.8</v>
      </c>
    </row>
    <row r="28" spans="2:16" x14ac:dyDescent="0.25">
      <c r="B28" s="57">
        <f t="shared" si="23"/>
        <v>0.14583333333333334</v>
      </c>
      <c r="C28" s="57">
        <f t="shared" si="23"/>
        <v>7.2916666666666671E-2</v>
      </c>
      <c r="D28" s="57">
        <f t="shared" si="23"/>
        <v>3.4722222222222224E-2</v>
      </c>
      <c r="E28" s="57">
        <f t="shared" si="23"/>
        <v>1.7361111111111112E-2</v>
      </c>
      <c r="F28" s="58">
        <f t="shared" si="24"/>
        <v>3.472222222222222E-3</v>
      </c>
      <c r="G28" s="58">
        <f t="shared" si="25"/>
        <v>5.5787037037037038E-3</v>
      </c>
      <c r="H28" s="65">
        <v>12</v>
      </c>
      <c r="I28" s="5"/>
      <c r="J28" s="5"/>
      <c r="K28" s="2">
        <f t="shared" si="26"/>
        <v>300</v>
      </c>
      <c r="L28" s="1">
        <f t="shared" si="27"/>
        <v>5</v>
      </c>
    </row>
    <row r="29" spans="2:16" x14ac:dyDescent="0.25">
      <c r="B29" s="57">
        <f t="shared" si="23"/>
        <v>0.15277777777777779</v>
      </c>
      <c r="C29" s="57">
        <f t="shared" si="23"/>
        <v>7.6388888888888895E-2</v>
      </c>
      <c r="D29" s="57">
        <f t="shared" si="23"/>
        <v>3.6111111111111108E-2</v>
      </c>
      <c r="E29" s="57">
        <f t="shared" si="23"/>
        <v>1.8055555555555554E-2</v>
      </c>
      <c r="F29" s="58">
        <f t="shared" si="24"/>
        <v>3.6226851851851854E-3</v>
      </c>
      <c r="G29" s="58">
        <f t="shared" si="25"/>
        <v>5.8217592592592592E-3</v>
      </c>
      <c r="H29" s="65">
        <v>11.5</v>
      </c>
      <c r="I29" s="5"/>
      <c r="J29" s="5"/>
      <c r="K29" s="2">
        <f t="shared" si="26"/>
        <v>313.04347826086956</v>
      </c>
      <c r="L29" s="1">
        <f t="shared" si="27"/>
        <v>5.2173913043478262</v>
      </c>
      <c r="P29">
        <v>42.195</v>
      </c>
    </row>
    <row r="30" spans="2:16" x14ac:dyDescent="0.25">
      <c r="B30" s="57">
        <f t="shared" si="23"/>
        <v>0.15972222222222221</v>
      </c>
      <c r="C30" s="57">
        <f t="shared" si="23"/>
        <v>7.9861111111111105E-2</v>
      </c>
      <c r="D30" s="57">
        <f t="shared" si="23"/>
        <v>3.7499999999999999E-2</v>
      </c>
      <c r="E30" s="57">
        <f t="shared" si="23"/>
        <v>1.8749999999999999E-2</v>
      </c>
      <c r="F30" s="58">
        <f t="shared" si="24"/>
        <v>3.7847222222222223E-3</v>
      </c>
      <c r="G30" s="58">
        <f t="shared" si="25"/>
        <v>6.0879629629629626E-3</v>
      </c>
      <c r="H30" s="65">
        <v>11</v>
      </c>
      <c r="I30" s="5"/>
      <c r="J30" s="5"/>
      <c r="K30" s="2">
        <f t="shared" si="26"/>
        <v>327.27272727272725</v>
      </c>
      <c r="L30" s="1">
        <f t="shared" si="27"/>
        <v>5.4545454545454541</v>
      </c>
      <c r="P30">
        <v>270</v>
      </c>
    </row>
    <row r="31" spans="2:16" x14ac:dyDescent="0.25">
      <c r="B31" s="57">
        <f t="shared" si="23"/>
        <v>0.1673611111111111</v>
      </c>
      <c r="C31" s="57">
        <f t="shared" si="23"/>
        <v>8.3333333333333329E-2</v>
      </c>
      <c r="D31" s="57">
        <f t="shared" si="23"/>
        <v>3.9583333333333331E-2</v>
      </c>
      <c r="E31" s="57">
        <f t="shared" si="23"/>
        <v>1.9444444444444445E-2</v>
      </c>
      <c r="F31" s="58">
        <f t="shared" si="24"/>
        <v>3.9583333333333337E-3</v>
      </c>
      <c r="G31" s="58">
        <f t="shared" si="25"/>
        <v>6.3773148148148148E-3</v>
      </c>
      <c r="H31" s="65">
        <v>10.5</v>
      </c>
      <c r="I31" s="5"/>
      <c r="J31" s="5"/>
      <c r="K31" s="2">
        <f t="shared" si="26"/>
        <v>342.85714285714289</v>
      </c>
      <c r="L31" s="1">
        <f t="shared" si="27"/>
        <v>5.7142857142857144</v>
      </c>
      <c r="P31">
        <f>P30/P29</f>
        <v>6.3988624244578745</v>
      </c>
    </row>
    <row r="32" spans="2:16" x14ac:dyDescent="0.25">
      <c r="B32" s="57">
        <f t="shared" si="23"/>
        <v>0.18472222222222223</v>
      </c>
      <c r="C32" s="57">
        <f t="shared" si="23"/>
        <v>9.2361111111111116E-2</v>
      </c>
      <c r="D32" s="57">
        <f t="shared" si="23"/>
        <v>4.3749999999999997E-2</v>
      </c>
      <c r="E32" s="57">
        <f t="shared" si="23"/>
        <v>2.1527777777777778E-2</v>
      </c>
      <c r="F32" s="58">
        <f t="shared" si="24"/>
        <v>4.3750000000000004E-3</v>
      </c>
      <c r="G32" s="58">
        <f t="shared" si="25"/>
        <v>7.0486111111111114E-3</v>
      </c>
      <c r="H32" s="65">
        <v>9.5</v>
      </c>
      <c r="I32" s="5"/>
      <c r="J32" s="5"/>
      <c r="K32" s="2">
        <f t="shared" si="26"/>
        <v>378.94736842105266</v>
      </c>
      <c r="L32" s="1">
        <f t="shared" si="27"/>
        <v>6.3157894736842106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0C2A-5E29-43BF-9567-8A930DB7971D}">
  <dimension ref="B2:D14"/>
  <sheetViews>
    <sheetView showGridLines="0" workbookViewId="0">
      <selection activeCell="B2" sqref="B2:D14"/>
    </sheetView>
  </sheetViews>
  <sheetFormatPr defaultRowHeight="15" x14ac:dyDescent="0.25"/>
  <cols>
    <col min="1" max="1" width="2.7109375" customWidth="1"/>
    <col min="3" max="3" width="16.28515625" bestFit="1" customWidth="1"/>
    <col min="4" max="4" width="8.7109375" customWidth="1"/>
  </cols>
  <sheetData>
    <row r="2" spans="2:4" x14ac:dyDescent="0.25">
      <c r="B2" t="s">
        <v>574</v>
      </c>
      <c r="C2" t="s">
        <v>566</v>
      </c>
      <c r="D2" s="75">
        <v>0.85</v>
      </c>
    </row>
    <row r="3" spans="2:4" x14ac:dyDescent="0.25">
      <c r="C3" t="s">
        <v>567</v>
      </c>
      <c r="D3" s="75">
        <v>2</v>
      </c>
    </row>
    <row r="4" spans="2:4" x14ac:dyDescent="0.25">
      <c r="C4" t="s">
        <v>568</v>
      </c>
      <c r="D4" s="75">
        <v>2.8</v>
      </c>
    </row>
    <row r="5" spans="2:4" x14ac:dyDescent="0.25">
      <c r="C5" t="s">
        <v>569</v>
      </c>
      <c r="D5" s="75">
        <v>3.8</v>
      </c>
    </row>
    <row r="6" spans="2:4" x14ac:dyDescent="0.25">
      <c r="C6" t="s">
        <v>570</v>
      </c>
      <c r="D6" s="75">
        <v>5.0999999999999996</v>
      </c>
    </row>
    <row r="7" spans="2:4" x14ac:dyDescent="0.25">
      <c r="C7" t="s">
        <v>571</v>
      </c>
      <c r="D7" s="75">
        <v>6.5</v>
      </c>
    </row>
    <row r="8" spans="2:4" x14ac:dyDescent="0.25">
      <c r="C8" t="s">
        <v>572</v>
      </c>
      <c r="D8" s="75">
        <v>6.9</v>
      </c>
    </row>
    <row r="9" spans="2:4" x14ac:dyDescent="0.25">
      <c r="C9" t="s">
        <v>573</v>
      </c>
      <c r="D9" s="75">
        <v>7.4</v>
      </c>
    </row>
    <row r="10" spans="2:4" x14ac:dyDescent="0.25">
      <c r="B10" t="s">
        <v>575</v>
      </c>
      <c r="C10" t="s">
        <v>576</v>
      </c>
      <c r="D10" s="75">
        <v>1.2</v>
      </c>
    </row>
    <row r="11" spans="2:4" x14ac:dyDescent="0.25">
      <c r="C11" t="s">
        <v>577</v>
      </c>
      <c r="D11" s="75">
        <v>1.7</v>
      </c>
    </row>
    <row r="12" spans="2:4" x14ac:dyDescent="0.25">
      <c r="C12" t="s">
        <v>578</v>
      </c>
      <c r="D12" s="75">
        <v>2.2999999999999998</v>
      </c>
    </row>
    <row r="13" spans="2:4" x14ac:dyDescent="0.25">
      <c r="C13" t="s">
        <v>579</v>
      </c>
      <c r="D13" s="75">
        <v>3</v>
      </c>
    </row>
    <row r="14" spans="2:4" x14ac:dyDescent="0.25">
      <c r="C14" t="s">
        <v>580</v>
      </c>
      <c r="D14" s="75">
        <v>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A769-674C-4790-A594-B7B931AA3D5F}">
  <dimension ref="B1:BM321"/>
  <sheetViews>
    <sheetView showGridLines="0" zoomScaleNormal="100" workbookViewId="0">
      <pane xSplit="2" ySplit="3" topLeftCell="AC86" activePane="bottomRight" state="frozen"/>
      <selection activeCell="AS69" sqref="AS69"/>
      <selection pane="topRight" activeCell="C1" sqref="C1"/>
      <selection pane="bottomLeft" activeCell="A4" sqref="A4"/>
      <selection pane="bottomRight" activeCell="AM87" sqref="AM87:AM95"/>
    </sheetView>
  </sheetViews>
  <sheetFormatPr defaultColWidth="8.5703125" defaultRowHeight="15" outlineLevelRow="1" outlineLevelCol="1" x14ac:dyDescent="0.25"/>
  <cols>
    <col min="1" max="1" width="2.7109375" customWidth="1"/>
    <col min="2" max="2" width="8.5703125" style="11" customWidth="1"/>
    <col min="3" max="6" width="8.5703125" hidden="1" customWidth="1" outlineLevel="1"/>
    <col min="7" max="7" width="8.5703125" style="24" hidden="1" customWidth="1" outlineLevel="1"/>
    <col min="8" max="11" width="8.5703125" hidden="1" customWidth="1" outlineLevel="1"/>
    <col min="12" max="12" width="8.5703125" style="24" hidden="1" customWidth="1" outlineLevel="1"/>
    <col min="13" max="16" width="8.5703125" hidden="1" customWidth="1" outlineLevel="1"/>
    <col min="17" max="17" width="8.5703125" style="24" hidden="1" customWidth="1" outlineLevel="1"/>
    <col min="18" max="21" width="8.5703125" hidden="1" customWidth="1" outlineLevel="1"/>
    <col min="22" max="22" width="8.5703125" style="24" hidden="1" customWidth="1" outlineLevel="1"/>
    <col min="23" max="27" width="8.5703125" hidden="1" customWidth="1" outlineLevel="1"/>
    <col min="28" max="28" width="1.7109375" style="102" hidden="1" customWidth="1" outlineLevel="1"/>
    <col min="29" max="29" width="8.5703125" customWidth="1" collapsed="1"/>
    <col min="30" max="32" width="8.5703125" customWidth="1"/>
    <col min="33" max="33" width="8.5703125" style="96" customWidth="1"/>
    <col min="34" max="34" width="8.5703125" style="24" customWidth="1"/>
    <col min="35" max="39" width="8.5703125" customWidth="1"/>
    <col min="40" max="40" width="8.5703125" style="24" customWidth="1"/>
    <col min="41" max="44" width="8.5703125" hidden="1" customWidth="1" outlineLevel="1"/>
    <col min="45" max="45" width="8.5703125" style="96" hidden="1" customWidth="1" outlineLevel="1"/>
    <col min="46" max="46" width="8.5703125" style="24" hidden="1" customWidth="1" outlineLevel="1"/>
    <col min="47" max="51" width="8.5703125" hidden="1" customWidth="1" outlineLevel="1"/>
    <col min="52" max="52" width="8.5703125" style="24" hidden="1" customWidth="1" outlineLevel="1"/>
    <col min="53" max="53" width="8.5703125" customWidth="1" collapsed="1"/>
    <col min="54" max="60" width="8.5703125" customWidth="1"/>
    <col min="61" max="61" width="8.5703125" style="1" customWidth="1"/>
    <col min="62" max="65" width="8.5703125" customWidth="1"/>
  </cols>
  <sheetData>
    <row r="1" spans="2:62" x14ac:dyDescent="0.25">
      <c r="AC1" s="41"/>
      <c r="AD1" s="41"/>
      <c r="AE1" s="41"/>
      <c r="AF1" s="41"/>
      <c r="AG1" s="103"/>
      <c r="AH1" s="98"/>
      <c r="AI1" s="41"/>
      <c r="AJ1" s="41"/>
      <c r="AK1" s="41"/>
      <c r="AL1" s="41"/>
      <c r="AM1" s="41"/>
      <c r="AN1" s="98"/>
      <c r="AO1" s="41"/>
      <c r="AP1" s="41"/>
      <c r="AQ1" s="41"/>
      <c r="AR1" s="41"/>
      <c r="AS1" s="103"/>
      <c r="AT1" s="98"/>
      <c r="AU1" s="41"/>
      <c r="AV1" s="41"/>
      <c r="AW1" s="41"/>
      <c r="AX1" s="41"/>
      <c r="AY1" s="41"/>
      <c r="AZ1" s="98"/>
      <c r="BA1" s="41"/>
      <c r="BB1" s="41"/>
      <c r="BC1" s="41"/>
      <c r="BD1" s="41"/>
      <c r="BE1" s="41"/>
      <c r="BF1" s="41"/>
    </row>
    <row r="2" spans="2:62" s="4" customFormat="1" x14ac:dyDescent="0.25">
      <c r="B2" s="11"/>
      <c r="C2" s="4" t="s">
        <v>201</v>
      </c>
      <c r="G2" s="29"/>
      <c r="H2" s="4" t="s">
        <v>205</v>
      </c>
      <c r="L2" s="29"/>
      <c r="M2" s="4" t="s">
        <v>201</v>
      </c>
      <c r="Q2" s="29"/>
      <c r="R2" s="4" t="s">
        <v>205</v>
      </c>
      <c r="V2" s="29"/>
      <c r="W2" s="4" t="s">
        <v>206</v>
      </c>
      <c r="AB2" s="104"/>
      <c r="AC2" s="4" t="s">
        <v>201</v>
      </c>
      <c r="AG2" s="89">
        <f>SUM(AG86:AG95)</f>
        <v>5</v>
      </c>
      <c r="AH2" s="29"/>
      <c r="AI2" s="4" t="s">
        <v>641</v>
      </c>
      <c r="AM2" s="89">
        <f>SUM(AM86:AM95)</f>
        <v>3</v>
      </c>
      <c r="AN2" s="29"/>
      <c r="AO2" s="4" t="s">
        <v>201</v>
      </c>
      <c r="AS2" s="89">
        <f>SUM(AS49:AS58)</f>
        <v>4.8</v>
      </c>
      <c r="AT2" s="29"/>
      <c r="AU2" s="4" t="s">
        <v>641</v>
      </c>
      <c r="AY2" s="89">
        <f>SUM(AY49:AY58)</f>
        <v>1.4</v>
      </c>
      <c r="AZ2" s="29"/>
      <c r="BA2" s="4" t="s">
        <v>206</v>
      </c>
      <c r="BE2" s="89">
        <f>SUM(BE86:BE95)</f>
        <v>10</v>
      </c>
      <c r="BI2" s="53"/>
    </row>
    <row r="3" spans="2:62" s="8" customFormat="1" ht="15.75" hidden="1" outlineLevel="1" thickBot="1" x14ac:dyDescent="0.3">
      <c r="B3" s="12" t="s">
        <v>257</v>
      </c>
      <c r="C3" s="8" t="s">
        <v>224</v>
      </c>
      <c r="D3" s="8" t="s">
        <v>217</v>
      </c>
      <c r="E3" s="8" t="s">
        <v>219</v>
      </c>
      <c r="F3" s="8" t="s">
        <v>222</v>
      </c>
      <c r="G3" s="30" t="s">
        <v>214</v>
      </c>
      <c r="H3" s="8" t="s">
        <v>224</v>
      </c>
      <c r="I3" s="8" t="s">
        <v>217</v>
      </c>
      <c r="J3" s="8" t="s">
        <v>219</v>
      </c>
      <c r="K3" s="8" t="s">
        <v>222</v>
      </c>
      <c r="L3" s="30" t="s">
        <v>214</v>
      </c>
      <c r="M3" s="8" t="s">
        <v>224</v>
      </c>
      <c r="N3" s="8" t="s">
        <v>217</v>
      </c>
      <c r="O3" s="8" t="s">
        <v>219</v>
      </c>
      <c r="P3" s="8" t="s">
        <v>222</v>
      </c>
      <c r="Q3" s="30" t="s">
        <v>214</v>
      </c>
      <c r="R3" s="8" t="s">
        <v>224</v>
      </c>
      <c r="S3" s="8" t="s">
        <v>217</v>
      </c>
      <c r="T3" s="8" t="s">
        <v>219</v>
      </c>
      <c r="U3" s="8" t="s">
        <v>222</v>
      </c>
      <c r="V3" s="30" t="s">
        <v>214</v>
      </c>
      <c r="W3" s="8" t="s">
        <v>224</v>
      </c>
      <c r="X3" s="8" t="s">
        <v>217</v>
      </c>
      <c r="Y3" s="8" t="s">
        <v>219</v>
      </c>
      <c r="Z3" s="8" t="s">
        <v>222</v>
      </c>
      <c r="AA3" s="8" t="s">
        <v>214</v>
      </c>
      <c r="AB3" s="112"/>
      <c r="AC3" s="8" t="s">
        <v>224</v>
      </c>
      <c r="AD3" s="8" t="s">
        <v>217</v>
      </c>
      <c r="AE3" s="8" t="s">
        <v>219</v>
      </c>
      <c r="AF3" s="8" t="s">
        <v>645</v>
      </c>
      <c r="AG3" s="97" t="s">
        <v>222</v>
      </c>
      <c r="AH3" s="30" t="s">
        <v>214</v>
      </c>
      <c r="AI3" s="8" t="s">
        <v>224</v>
      </c>
      <c r="AJ3" s="8" t="s">
        <v>217</v>
      </c>
      <c r="AK3" s="8" t="s">
        <v>219</v>
      </c>
      <c r="AL3" s="8" t="s">
        <v>645</v>
      </c>
      <c r="AM3" s="8" t="s">
        <v>222</v>
      </c>
      <c r="AN3" s="30" t="s">
        <v>214</v>
      </c>
      <c r="AO3" s="8" t="s">
        <v>224</v>
      </c>
      <c r="AP3" s="8" t="s">
        <v>217</v>
      </c>
      <c r="AQ3" s="8" t="s">
        <v>219</v>
      </c>
      <c r="AR3" s="8" t="s">
        <v>645</v>
      </c>
      <c r="AS3" s="97" t="s">
        <v>222</v>
      </c>
      <c r="AT3" s="30" t="s">
        <v>214</v>
      </c>
      <c r="AU3" s="8" t="s">
        <v>224</v>
      </c>
      <c r="AV3" s="8" t="s">
        <v>217</v>
      </c>
      <c r="AW3" s="8" t="s">
        <v>219</v>
      </c>
      <c r="AX3" s="8" t="s">
        <v>645</v>
      </c>
      <c r="AY3" s="8" t="s">
        <v>222</v>
      </c>
      <c r="AZ3" s="30" t="s">
        <v>214</v>
      </c>
      <c r="BA3" s="8" t="s">
        <v>224</v>
      </c>
      <c r="BB3" s="8" t="s">
        <v>217</v>
      </c>
      <c r="BC3" s="8" t="s">
        <v>219</v>
      </c>
      <c r="BD3" s="8" t="s">
        <v>645</v>
      </c>
      <c r="BE3" s="8" t="s">
        <v>222</v>
      </c>
      <c r="BF3" s="8" t="s">
        <v>214</v>
      </c>
      <c r="BI3" s="94"/>
    </row>
    <row r="4" spans="2:62" hidden="1" outlineLevel="1" x14ac:dyDescent="0.25">
      <c r="B4" s="11" t="s">
        <v>204</v>
      </c>
      <c r="C4" s="5">
        <v>1</v>
      </c>
      <c r="D4" s="51" t="s">
        <v>241</v>
      </c>
      <c r="E4" s="5" t="str">
        <f>INDEX('Nike pace chart'!$BO$9:$BO$16,MATCH('Nike training program_10k'!D4,'Nike pace chart'!$BY$9:$BY$16,0))</f>
        <v>04:25</v>
      </c>
      <c r="F4" s="99">
        <v>3.2</v>
      </c>
      <c r="G4" s="31" t="s">
        <v>223</v>
      </c>
      <c r="H4" s="5">
        <v>8</v>
      </c>
      <c r="I4" s="49" t="s">
        <v>195</v>
      </c>
      <c r="J4" s="5" t="str">
        <f>INDEX('Nike pace chart'!$BO$9:$BO$16,MATCH('Nike training program_10k'!I4,'Nike pace chart'!$BY$9:$BY$16,0))</f>
        <v>04:37</v>
      </c>
      <c r="K4" s="99">
        <f>INDEX('Nike pace chart'!$BV$9:$BV$16,MATCH('Nike training program_10k'!I4,'Nike pace chart'!$BY$9:$BY$16,0))/1000*1</f>
        <v>0.22</v>
      </c>
      <c r="L4" s="91">
        <v>6.9444444444444447E-4</v>
      </c>
      <c r="M4" s="5">
        <v>1</v>
      </c>
      <c r="N4" s="46" t="s">
        <v>201</v>
      </c>
      <c r="O4" s="5" t="str">
        <f>INDEX('Nike pace chart'!$BO$9:$BO$16,MATCH('Nike training program_10k'!N4,'Nike pace chart'!$BY$9:$BY$16,0))</f>
        <v>05:39</v>
      </c>
      <c r="P4" s="99">
        <f>INDEX('Nike pace chart'!$BV$9:$BV$16,MATCH('Nike training program_10k'!N4,'Nike pace chart'!$BY$9:$BY$16,0))/1000*25</f>
        <v>4.5</v>
      </c>
      <c r="Q4" s="31" t="s">
        <v>226</v>
      </c>
      <c r="R4" s="5">
        <v>1</v>
      </c>
      <c r="S4" s="27" t="s">
        <v>255</v>
      </c>
      <c r="T4" s="5" t="s">
        <v>223</v>
      </c>
      <c r="U4" s="27" t="s">
        <v>223</v>
      </c>
      <c r="V4" s="31" t="s">
        <v>227</v>
      </c>
      <c r="W4" s="5">
        <v>1</v>
      </c>
      <c r="X4" s="51" t="s">
        <v>241</v>
      </c>
      <c r="Y4" s="5" t="str">
        <f>INDEX('Nike pace chart'!$BO$9:$BO$16,MATCH('Nike training program_10k'!X4,'Nike pace chart'!$BY$9:$BY$16,0))</f>
        <v>04:25</v>
      </c>
      <c r="Z4" s="27">
        <v>5</v>
      </c>
      <c r="AA4" s="28" t="s">
        <v>223</v>
      </c>
      <c r="AB4" s="105"/>
      <c r="AC4" s="5">
        <v>1</v>
      </c>
      <c r="AD4" s="46" t="s">
        <v>201</v>
      </c>
      <c r="AE4" s="5" t="str">
        <f>INDEX('Nike pace chart'!$BO$9:$BO$16,MATCH('Nike training program_10k'!AD4,'Nike pace chart'!$BY$9:$BY$16,0))</f>
        <v>05:39</v>
      </c>
      <c r="AF4" s="81">
        <f t="shared" ref="AF4" si="0">3600/(_xlfn.TEXTBEFORE(AE4,":")*60+_xlfn.TEXTAFTER(AE4,":"))</f>
        <v>10.619469026548673</v>
      </c>
      <c r="AG4" s="27">
        <v>3.2</v>
      </c>
      <c r="AH4" s="31" t="s">
        <v>223</v>
      </c>
      <c r="AI4" s="5">
        <v>4</v>
      </c>
      <c r="AJ4" s="49" t="s">
        <v>195</v>
      </c>
      <c r="AK4" s="5" t="str">
        <f>INDEX('Nike pace chart'!$BO$9:$BO$16,MATCH('Nike training program_10k'!AJ4,'Nike pace chart'!$BY$9:$BY$16,0))</f>
        <v>04:37</v>
      </c>
      <c r="AL4" s="81">
        <f t="shared" ref="AL4:AL5" si="1">3600/(_xlfn.TEXTBEFORE(AK4,":")*60+_xlfn.TEXTAFTER(AK4,":"))</f>
        <v>12.996389891696751</v>
      </c>
      <c r="AM4" s="99">
        <v>0.5</v>
      </c>
      <c r="AN4" s="91">
        <v>6.9444444444444447E-4</v>
      </c>
      <c r="AO4" s="5">
        <v>1</v>
      </c>
      <c r="AP4" s="46" t="s">
        <v>201</v>
      </c>
      <c r="AQ4" s="5" t="str">
        <f>INDEX('Nike pace chart'!$BO$9:$BO$16,MATCH('Nike training program_10k'!AP4,'Nike pace chart'!$BY$9:$BY$16,0))</f>
        <v>05:39</v>
      </c>
      <c r="AR4" s="81">
        <f t="shared" ref="AR4" si="2">3600/(_xlfn.TEXTBEFORE(AQ4,":")*60+_xlfn.TEXTAFTER(AQ4,":"))</f>
        <v>10.619469026548673</v>
      </c>
      <c r="AS4" s="27">
        <f>INDEX('Nike pace chart'!$BV$9:$BV$16,MATCH('Nike training program_10k'!AP4,'Nike pace chart'!$BY$9:$BY$16,0))/1000*25</f>
        <v>4.5</v>
      </c>
      <c r="AT4" s="31" t="s">
        <v>226</v>
      </c>
      <c r="AU4" s="5">
        <v>1</v>
      </c>
      <c r="AV4" s="27" t="s">
        <v>255</v>
      </c>
      <c r="AW4" s="5" t="s">
        <v>223</v>
      </c>
      <c r="AX4" s="81"/>
      <c r="AY4" s="27" t="s">
        <v>223</v>
      </c>
      <c r="AZ4" s="31" t="s">
        <v>227</v>
      </c>
      <c r="BA4" s="5">
        <v>1</v>
      </c>
      <c r="BB4" s="45" t="s">
        <v>241</v>
      </c>
      <c r="BC4" s="84">
        <v>3.5879629629629629E-3</v>
      </c>
      <c r="BD4" s="81">
        <f>3600/(MINUTE(BC4)*60+SECOND(BC4))</f>
        <v>11.612903225806452</v>
      </c>
      <c r="BE4" s="27">
        <v>1</v>
      </c>
      <c r="BF4" s="28" t="s">
        <v>223</v>
      </c>
    </row>
    <row r="5" spans="2:62" hidden="1" outlineLevel="1" x14ac:dyDescent="0.25">
      <c r="B5" s="37" t="s">
        <v>204</v>
      </c>
      <c r="C5" s="5"/>
      <c r="D5" s="27"/>
      <c r="E5" s="5"/>
      <c r="F5" s="27"/>
      <c r="G5" s="6"/>
      <c r="H5" s="5"/>
      <c r="I5" s="46" t="s">
        <v>201</v>
      </c>
      <c r="J5" s="5" t="str">
        <f>INDEX('Nike pace chart'!$BO$9:$BO$16,MATCH('Nike training program_10k'!I5,'Nike pace chart'!$BY$9:$BY$16,0))</f>
        <v>05:39</v>
      </c>
      <c r="K5" s="99">
        <f>INDEX('Nike pace chart'!$BV$9:$BV$16,MATCH('Nike training program_10k'!I5,'Nike pace chart'!$BY$9:$BY$16,0))/1000*1</f>
        <v>0.18</v>
      </c>
      <c r="L5" s="31" t="s">
        <v>225</v>
      </c>
      <c r="M5" s="5"/>
      <c r="N5" s="27"/>
      <c r="O5" s="5"/>
      <c r="P5" s="27"/>
      <c r="Q5" s="31"/>
      <c r="R5" s="5">
        <v>1</v>
      </c>
      <c r="S5" s="49" t="s">
        <v>195</v>
      </c>
      <c r="T5" s="5" t="str">
        <f>INDEX('Nike pace chart'!$BO$9:$BO$16,MATCH('Nike training program_10k'!S5,'Nike pace chart'!$BY$9:$BY$16,0))</f>
        <v>04:37</v>
      </c>
      <c r="U5" s="99">
        <f>INDEX('Nike pace chart'!$BV$9:$BV$16,MATCH('Nike training program_10k'!S5,'Nike pace chart'!$BY$9:$BY$16,0))/1000*1</f>
        <v>0.22</v>
      </c>
      <c r="V5" s="31" t="s">
        <v>225</v>
      </c>
      <c r="W5" s="5"/>
      <c r="X5" s="27"/>
      <c r="Y5" s="5"/>
      <c r="Z5" s="27"/>
      <c r="AA5" s="28"/>
      <c r="AB5" s="105"/>
      <c r="AC5" s="5"/>
      <c r="AD5" s="27"/>
      <c r="AE5" s="5"/>
      <c r="AF5" s="81"/>
      <c r="AG5" s="27"/>
      <c r="AH5" s="6"/>
      <c r="AI5" s="5"/>
      <c r="AJ5" s="46" t="s">
        <v>201</v>
      </c>
      <c r="AK5" s="5" t="str">
        <f>INDEX('Nike pace chart'!$BO$9:$BO$16,MATCH('Nike training program_10k'!AJ5,'Nike pace chart'!$BY$9:$BY$16,0))</f>
        <v>05:39</v>
      </c>
      <c r="AL5" s="81">
        <f t="shared" si="1"/>
        <v>10.619469026548673</v>
      </c>
      <c r="AM5" s="99">
        <v>0.3</v>
      </c>
      <c r="AN5" s="31" t="s">
        <v>225</v>
      </c>
      <c r="AO5" s="5"/>
      <c r="AP5" s="27"/>
      <c r="AQ5" s="5"/>
      <c r="AR5" s="81"/>
      <c r="AS5" s="27"/>
      <c r="AT5" s="31"/>
      <c r="AU5" s="5">
        <v>1</v>
      </c>
      <c r="AV5" s="48" t="s">
        <v>198</v>
      </c>
      <c r="AW5" s="5" t="str">
        <f>INDEX('Nike pace chart'!$BO$9:$BO$16,MATCH('Nike training program_10k'!AV5,'Nike pace chart'!$BY$9:$BY$16,0))</f>
        <v>04:46</v>
      </c>
      <c r="AX5" s="81">
        <f t="shared" ref="AX5:AX12" si="3">3600/(_xlfn.TEXTBEFORE(AW5,":")*60+_xlfn.TEXTAFTER(AW5,":"))</f>
        <v>12.587412587412587</v>
      </c>
      <c r="AY5" s="99">
        <v>0.8</v>
      </c>
      <c r="AZ5" s="31"/>
      <c r="BA5" s="5"/>
      <c r="BB5" s="27"/>
      <c r="BC5" s="84">
        <v>3.472222222222222E-3</v>
      </c>
      <c r="BD5" s="81">
        <f t="shared" ref="BD5:BD8" si="4">3600/(MINUTE(BC5)*60+SECOND(BC5))</f>
        <v>12</v>
      </c>
      <c r="BE5" s="27">
        <v>1</v>
      </c>
      <c r="BF5" s="28"/>
      <c r="BH5" s="27" t="s">
        <v>198</v>
      </c>
      <c r="BI5" s="1">
        <v>0.65</v>
      </c>
    </row>
    <row r="6" spans="2:62" hidden="1" outlineLevel="1" x14ac:dyDescent="0.25">
      <c r="B6" s="37" t="s">
        <v>204</v>
      </c>
      <c r="C6" s="5"/>
      <c r="D6" s="27"/>
      <c r="E6" s="5"/>
      <c r="F6" s="27"/>
      <c r="G6" s="6"/>
      <c r="H6" s="5"/>
      <c r="I6" s="27"/>
      <c r="J6" s="5"/>
      <c r="K6" s="27"/>
      <c r="L6" s="31"/>
      <c r="M6" s="5"/>
      <c r="N6" s="27"/>
      <c r="O6" s="5"/>
      <c r="P6" s="27"/>
      <c r="Q6" s="31"/>
      <c r="R6" s="5"/>
      <c r="S6" s="46" t="s">
        <v>201</v>
      </c>
      <c r="T6" s="5" t="str">
        <f>INDEX('Nike pace chart'!$BO$9:$BO$16,MATCH('Nike training program_10k'!S6,'Nike pace chart'!$BY$9:$BY$16,0))</f>
        <v>05:39</v>
      </c>
      <c r="U6" s="99">
        <f>INDEX('Nike pace chart'!$BV$9:$BV$16,MATCH('Nike training program_10k'!S6,'Nike pace chart'!$BY$9:$BY$16,0))/1000*1</f>
        <v>0.18</v>
      </c>
      <c r="V6" s="31" t="s">
        <v>225</v>
      </c>
      <c r="W6" s="5"/>
      <c r="X6" s="27"/>
      <c r="Y6" s="5"/>
      <c r="Z6" s="5"/>
      <c r="AA6" s="5"/>
      <c r="AB6" s="106"/>
      <c r="AC6" s="5"/>
      <c r="AD6" s="27"/>
      <c r="AE6" s="5"/>
      <c r="AF6" s="81"/>
      <c r="AG6" s="27"/>
      <c r="AH6" s="6"/>
      <c r="AI6" s="5"/>
      <c r="AJ6" s="27"/>
      <c r="AK6" s="5"/>
      <c r="AL6" s="81"/>
      <c r="AM6" s="27"/>
      <c r="AN6" s="31"/>
      <c r="AO6" s="5"/>
      <c r="AP6" s="27"/>
      <c r="AQ6" s="5"/>
      <c r="AR6" s="81"/>
      <c r="AS6" s="27"/>
      <c r="AT6" s="31"/>
      <c r="AU6" s="5"/>
      <c r="AV6" s="46" t="s">
        <v>201</v>
      </c>
      <c r="AW6" s="5" t="str">
        <f>INDEX('Nike pace chart'!$BO$9:$BO$16,MATCH('Nike training program_10k'!AV6,'Nike pace chart'!$BY$9:$BY$16,0))</f>
        <v>05:39</v>
      </c>
      <c r="AX6" s="81">
        <f t="shared" si="3"/>
        <v>10.619469026548673</v>
      </c>
      <c r="AY6" s="99">
        <v>0.3</v>
      </c>
      <c r="AZ6" s="31"/>
      <c r="BA6" s="5"/>
      <c r="BB6" s="27"/>
      <c r="BC6" s="84">
        <v>3.472222222222222E-3</v>
      </c>
      <c r="BD6" s="81">
        <f t="shared" si="4"/>
        <v>12</v>
      </c>
      <c r="BE6" s="27">
        <v>1</v>
      </c>
      <c r="BF6" s="5"/>
      <c r="BG6" s="5"/>
      <c r="BH6" s="5"/>
      <c r="BI6" s="107">
        <v>0.3</v>
      </c>
      <c r="BJ6" s="5"/>
    </row>
    <row r="7" spans="2:62" hidden="1" outlineLevel="1" x14ac:dyDescent="0.25">
      <c r="B7" s="37" t="s">
        <v>204</v>
      </c>
      <c r="C7" s="5"/>
      <c r="D7" s="27"/>
      <c r="E7" s="5"/>
      <c r="F7" s="27"/>
      <c r="G7" s="6"/>
      <c r="H7" s="5"/>
      <c r="I7" s="27"/>
      <c r="J7" s="5"/>
      <c r="K7" s="27"/>
      <c r="L7" s="31"/>
      <c r="M7" s="5"/>
      <c r="N7" s="27"/>
      <c r="O7" s="5"/>
      <c r="P7" s="27"/>
      <c r="Q7" s="31"/>
      <c r="R7" s="5">
        <v>1</v>
      </c>
      <c r="S7" s="48" t="s">
        <v>198</v>
      </c>
      <c r="T7" s="5" t="str">
        <f>INDEX('Nike pace chart'!$BO$9:$BO$16,MATCH('Nike training program_10k'!S7,'Nike pace chart'!$BY$9:$BY$16,0))</f>
        <v>04:46</v>
      </c>
      <c r="U7" s="99">
        <f>INDEX('Nike pace chart'!$BV$9:$BV$16,MATCH('Nike training program_10k'!S7,'Nike pace chart'!$BY$9:$BY$16,0))/1000*2</f>
        <v>0.42</v>
      </c>
      <c r="V7" s="31" t="s">
        <v>228</v>
      </c>
      <c r="W7" s="5"/>
      <c r="X7" s="27"/>
      <c r="Y7" s="108"/>
      <c r="Z7" s="108"/>
      <c r="AA7" s="108"/>
      <c r="AB7" s="109"/>
      <c r="AC7" s="5"/>
      <c r="AD7" s="27"/>
      <c r="AE7" s="5"/>
      <c r="AF7" s="81"/>
      <c r="AG7" s="27"/>
      <c r="AH7" s="6"/>
      <c r="AI7" s="5"/>
      <c r="AJ7" s="27"/>
      <c r="AK7" s="5"/>
      <c r="AL7" s="81"/>
      <c r="AM7" s="27"/>
      <c r="AN7" s="31"/>
      <c r="AO7" s="5"/>
      <c r="AP7" s="27"/>
      <c r="AQ7" s="5"/>
      <c r="AR7" s="81"/>
      <c r="AS7" s="27"/>
      <c r="AT7" s="31"/>
      <c r="AU7" s="5">
        <v>1</v>
      </c>
      <c r="AV7" s="45" t="s">
        <v>241</v>
      </c>
      <c r="AW7" s="5" t="str">
        <f>INDEX('Nike pace chart'!$BO$9:$BO$16,MATCH('Nike training program_10k'!AV7,'Nike pace chart'!$BY$9:$BY$16,0))</f>
        <v>04:25</v>
      </c>
      <c r="AX7" s="81">
        <f t="shared" si="3"/>
        <v>13.584905660377359</v>
      </c>
      <c r="AY7" s="99">
        <v>0.4</v>
      </c>
      <c r="AZ7" s="31"/>
      <c r="BA7" s="5"/>
      <c r="BB7" s="27"/>
      <c r="BC7" s="108">
        <v>3.3564814814814816E-3</v>
      </c>
      <c r="BD7" s="81">
        <f t="shared" si="4"/>
        <v>12.413793103448276</v>
      </c>
      <c r="BE7" s="27">
        <v>1</v>
      </c>
      <c r="BF7" s="108"/>
      <c r="BG7" s="108"/>
      <c r="BH7" s="27" t="s">
        <v>241</v>
      </c>
      <c r="BI7" s="1">
        <v>0.4</v>
      </c>
      <c r="BJ7" s="108"/>
    </row>
    <row r="8" spans="2:62" hidden="1" outlineLevel="1" x14ac:dyDescent="0.25">
      <c r="B8" s="37" t="s">
        <v>204</v>
      </c>
      <c r="C8" s="5"/>
      <c r="D8" s="27"/>
      <c r="E8" s="5"/>
      <c r="F8" s="27"/>
      <c r="G8" s="6"/>
      <c r="H8" s="5"/>
      <c r="I8" s="27"/>
      <c r="J8" s="5"/>
      <c r="K8" s="27"/>
      <c r="L8" s="31"/>
      <c r="M8" s="5"/>
      <c r="N8" s="27"/>
      <c r="O8" s="5"/>
      <c r="P8" s="27"/>
      <c r="Q8" s="31"/>
      <c r="R8" s="5"/>
      <c r="S8" s="46" t="s">
        <v>201</v>
      </c>
      <c r="T8" s="5" t="str">
        <f>INDEX('Nike pace chart'!$BO$9:$BO$16,MATCH('Nike training program_10k'!S8,'Nike pace chart'!$BY$9:$BY$16,0))</f>
        <v>05:39</v>
      </c>
      <c r="U8" s="99">
        <f>INDEX('Nike pace chart'!$BV$9:$BV$16,MATCH('Nike training program_10k'!S8,'Nike pace chart'!$BY$9:$BY$16,0))/1000*1</f>
        <v>0.18</v>
      </c>
      <c r="V8" s="31" t="s">
        <v>225</v>
      </c>
      <c r="W8" s="5"/>
      <c r="X8" s="27"/>
      <c r="Y8" s="5"/>
      <c r="Z8" s="27"/>
      <c r="AA8" s="28"/>
      <c r="AB8" s="105"/>
      <c r="AC8" s="5"/>
      <c r="AD8" s="27"/>
      <c r="AE8" s="5"/>
      <c r="AF8" s="81"/>
      <c r="AG8" s="27"/>
      <c r="AH8" s="6"/>
      <c r="AI8" s="5"/>
      <c r="AJ8" s="27"/>
      <c r="AK8" s="5"/>
      <c r="AL8" s="81"/>
      <c r="AM8" s="27"/>
      <c r="AN8" s="31"/>
      <c r="AO8" s="5"/>
      <c r="AP8" s="27"/>
      <c r="AQ8" s="5"/>
      <c r="AR8" s="81"/>
      <c r="AS8" s="27"/>
      <c r="AT8" s="31"/>
      <c r="AU8" s="5"/>
      <c r="AV8" s="46" t="s">
        <v>201</v>
      </c>
      <c r="AW8" s="5" t="str">
        <f>INDEX('Nike pace chart'!$BO$9:$BO$16,MATCH('Nike training program_10k'!AV8,'Nike pace chart'!$BY$9:$BY$16,0))</f>
        <v>05:39</v>
      </c>
      <c r="AX8" s="81">
        <f t="shared" si="3"/>
        <v>10.619469026548673</v>
      </c>
      <c r="AY8" s="99">
        <v>0.4</v>
      </c>
      <c r="AZ8" s="31"/>
      <c r="BA8" s="5"/>
      <c r="BB8" s="27"/>
      <c r="BC8" s="84">
        <v>3.3564814814814816E-3</v>
      </c>
      <c r="BD8" s="81">
        <f t="shared" si="4"/>
        <v>12.413793103448276</v>
      </c>
      <c r="BE8" s="27">
        <v>1</v>
      </c>
      <c r="BF8" s="28"/>
      <c r="BI8" s="1">
        <v>0.4</v>
      </c>
    </row>
    <row r="9" spans="2:62" hidden="1" outlineLevel="1" x14ac:dyDescent="0.25">
      <c r="B9" s="37" t="s">
        <v>204</v>
      </c>
      <c r="C9" s="5"/>
      <c r="D9" s="27"/>
      <c r="E9" s="5"/>
      <c r="F9" s="27"/>
      <c r="G9" s="6"/>
      <c r="H9" s="5"/>
      <c r="I9" s="27"/>
      <c r="J9" s="5"/>
      <c r="K9" s="27"/>
      <c r="L9" s="31"/>
      <c r="M9" s="5"/>
      <c r="N9" s="27"/>
      <c r="O9" s="5"/>
      <c r="P9" s="27"/>
      <c r="Q9" s="31"/>
      <c r="R9" s="5">
        <v>1</v>
      </c>
      <c r="S9" s="49" t="s">
        <v>195</v>
      </c>
      <c r="T9" s="5" t="str">
        <f>INDEX('Nike pace chart'!$BO$9:$BO$16,MATCH('Nike training program_10k'!S9,'Nike pace chart'!$BY$9:$BY$16,0))</f>
        <v>04:37</v>
      </c>
      <c r="U9" s="99">
        <f>INDEX('Nike pace chart'!$BV$9:$BV$16,MATCH('Nike training program_10k'!S9,'Nike pace chart'!$BY$9:$BY$16,0))/1000*1</f>
        <v>0.22</v>
      </c>
      <c r="V9" s="31" t="s">
        <v>225</v>
      </c>
      <c r="W9" s="5"/>
      <c r="X9" s="27"/>
      <c r="Y9" s="5"/>
      <c r="Z9" s="27"/>
      <c r="AA9" s="28"/>
      <c r="AB9" s="105"/>
      <c r="AC9" s="5"/>
      <c r="AD9" s="27"/>
      <c r="AE9" s="5"/>
      <c r="AF9" s="5"/>
      <c r="AG9" s="27"/>
      <c r="AH9" s="6"/>
      <c r="AI9" s="5"/>
      <c r="AJ9" s="27"/>
      <c r="AK9" s="5"/>
      <c r="AL9" s="5"/>
      <c r="AM9" s="27"/>
      <c r="AN9" s="31"/>
      <c r="AO9" s="5"/>
      <c r="AP9" s="27"/>
      <c r="AQ9" s="5"/>
      <c r="AR9" s="5"/>
      <c r="AS9" s="27"/>
      <c r="AT9" s="31"/>
      <c r="AU9" s="5">
        <v>1</v>
      </c>
      <c r="AV9" s="49" t="s">
        <v>195</v>
      </c>
      <c r="AW9" s="5" t="str">
        <f>INDEX('Nike pace chart'!$BO$9:$BO$16,MATCH('Nike training program_10k'!AV9,'Nike pace chart'!$BY$9:$BY$16,0))</f>
        <v>04:37</v>
      </c>
      <c r="AX9" s="81">
        <f t="shared" si="3"/>
        <v>12.996389891696751</v>
      </c>
      <c r="AY9" s="99">
        <v>0.6</v>
      </c>
      <c r="AZ9" s="31"/>
      <c r="BA9" s="5"/>
      <c r="BB9" s="27"/>
      <c r="BC9" s="5"/>
      <c r="BD9" s="5"/>
      <c r="BE9" s="27"/>
      <c r="BF9" s="28"/>
      <c r="BH9" s="27" t="s">
        <v>195</v>
      </c>
      <c r="BI9" s="1">
        <v>0.5</v>
      </c>
    </row>
    <row r="10" spans="2:62" hidden="1" outlineLevel="1" x14ac:dyDescent="0.25">
      <c r="B10" s="37" t="s">
        <v>204</v>
      </c>
      <c r="C10" s="5"/>
      <c r="D10" s="27"/>
      <c r="E10" s="5"/>
      <c r="F10" s="27"/>
      <c r="G10" s="6"/>
      <c r="H10" s="5"/>
      <c r="I10" s="27"/>
      <c r="J10" s="5"/>
      <c r="K10" s="27"/>
      <c r="L10" s="31"/>
      <c r="M10" s="5"/>
      <c r="N10" s="27"/>
      <c r="O10" s="5"/>
      <c r="P10" s="27"/>
      <c r="Q10" s="31"/>
      <c r="R10" s="5"/>
      <c r="S10" s="46" t="s">
        <v>201</v>
      </c>
      <c r="T10" s="5" t="str">
        <f>INDEX('Nike pace chart'!$BO$9:$BO$16,MATCH('Nike training program_10k'!S10,'Nike pace chart'!$BY$9:$BY$16,0))</f>
        <v>05:39</v>
      </c>
      <c r="U10" s="99">
        <f>INDEX('Nike pace chart'!$BV$9:$BV$16,MATCH('Nike training program_10k'!S10,'Nike pace chart'!$BY$9:$BY$16,0))/1000*1</f>
        <v>0.18</v>
      </c>
      <c r="V10" s="31" t="s">
        <v>225</v>
      </c>
      <c r="W10" s="5"/>
      <c r="X10" s="27"/>
      <c r="Y10" s="5"/>
      <c r="Z10" s="27"/>
      <c r="AA10" s="28"/>
      <c r="AB10" s="105"/>
      <c r="AC10" s="5"/>
      <c r="AD10" s="27"/>
      <c r="AE10" s="5"/>
      <c r="AF10" s="5"/>
      <c r="AG10" s="27"/>
      <c r="AH10" s="6"/>
      <c r="AI10" s="5"/>
      <c r="AJ10" s="27"/>
      <c r="AK10" s="5"/>
      <c r="AL10" s="5"/>
      <c r="AM10" s="27"/>
      <c r="AN10" s="31"/>
      <c r="AO10" s="5"/>
      <c r="AP10" s="27"/>
      <c r="AQ10" s="5"/>
      <c r="AR10" s="5"/>
      <c r="AS10" s="27"/>
      <c r="AT10" s="31"/>
      <c r="AU10" s="5"/>
      <c r="AV10" s="46" t="s">
        <v>201</v>
      </c>
      <c r="AW10" s="5" t="str">
        <f>INDEX('Nike pace chart'!$BO$9:$BO$16,MATCH('Nike training program_10k'!AV10,'Nike pace chart'!$BY$9:$BY$16,0))</f>
        <v>05:39</v>
      </c>
      <c r="AX10" s="81">
        <f t="shared" si="3"/>
        <v>10.619469026548673</v>
      </c>
      <c r="AY10" s="99">
        <v>0.4</v>
      </c>
      <c r="AZ10" s="31"/>
      <c r="BA10" s="5"/>
      <c r="BB10" s="27"/>
      <c r="BC10" s="5"/>
      <c r="BD10" s="5"/>
      <c r="BE10" s="27"/>
      <c r="BF10" s="28"/>
      <c r="BI10" s="1">
        <v>0.4</v>
      </c>
    </row>
    <row r="11" spans="2:62" hidden="1" outlineLevel="1" x14ac:dyDescent="0.25">
      <c r="B11" s="37" t="s">
        <v>204</v>
      </c>
      <c r="C11" s="5"/>
      <c r="D11" s="27"/>
      <c r="E11" s="5"/>
      <c r="F11" s="27"/>
      <c r="G11" s="6"/>
      <c r="H11" s="5"/>
      <c r="I11" s="27"/>
      <c r="J11" s="5"/>
      <c r="K11" s="27"/>
      <c r="L11" s="31"/>
      <c r="M11" s="5"/>
      <c r="N11" s="27"/>
      <c r="O11" s="5"/>
      <c r="P11" s="27"/>
      <c r="Q11" s="31"/>
      <c r="R11" s="5">
        <v>2</v>
      </c>
      <c r="S11" s="45" t="s">
        <v>241</v>
      </c>
      <c r="T11" s="5" t="str">
        <f>INDEX('Nike pace chart'!$BO$9:$BO$16,MATCH('Nike training program_10k'!S11,'Nike pace chart'!$BY$9:$BY$16,0))</f>
        <v>04:25</v>
      </c>
      <c r="U11" s="99">
        <f>INDEX('Nike pace chart'!$BV$9:$BV$16,MATCH('Nike training program_10k'!S11,'Nike pace chart'!$BY$9:$BY$16,0))/1000*0.75</f>
        <v>0.17250000000000001</v>
      </c>
      <c r="V11" s="31" t="s">
        <v>229</v>
      </c>
      <c r="W11" s="5"/>
      <c r="X11" s="27"/>
      <c r="Y11" s="5"/>
      <c r="Z11" s="27"/>
      <c r="AA11" s="28"/>
      <c r="AB11" s="105"/>
      <c r="AC11" s="5"/>
      <c r="AD11" s="27"/>
      <c r="AE11" s="5"/>
      <c r="AF11" s="5"/>
      <c r="AG11" s="27"/>
      <c r="AH11" s="6"/>
      <c r="AI11" s="5"/>
      <c r="AJ11" s="27"/>
      <c r="AK11" s="5"/>
      <c r="AL11" s="5"/>
      <c r="AM11" s="27"/>
      <c r="AN11" s="31"/>
      <c r="AO11" s="5"/>
      <c r="AP11" s="27"/>
      <c r="AQ11" s="5"/>
      <c r="AR11" s="5"/>
      <c r="AS11" s="27"/>
      <c r="AT11" s="31"/>
      <c r="AU11" s="5">
        <v>1</v>
      </c>
      <c r="AV11" s="51" t="s">
        <v>203</v>
      </c>
      <c r="AW11" s="5" t="str">
        <f>INDEX('Nike pace chart'!$BO$9:$BO$16,MATCH('Nike training program_10k'!AV11,'Nike pace chart'!$BY$9:$BY$16,0))</f>
        <v>04:13</v>
      </c>
      <c r="AX11" s="81">
        <f t="shared" si="3"/>
        <v>14.229249011857707</v>
      </c>
      <c r="AY11" s="99">
        <v>0.15</v>
      </c>
      <c r="AZ11" s="31"/>
      <c r="BA11" s="5"/>
      <c r="BB11" s="27"/>
      <c r="BC11" s="5"/>
      <c r="BD11" s="5"/>
      <c r="BE11" s="27"/>
      <c r="BF11" s="28"/>
      <c r="BH11" s="27" t="s">
        <v>203</v>
      </c>
      <c r="BI11" s="1">
        <v>0.15</v>
      </c>
    </row>
    <row r="12" spans="2:62" hidden="1" outlineLevel="1" x14ac:dyDescent="0.25">
      <c r="B12" s="37" t="s">
        <v>204</v>
      </c>
      <c r="C12" s="5"/>
      <c r="D12" s="27"/>
      <c r="E12" s="5"/>
      <c r="F12" s="27"/>
      <c r="G12" s="6"/>
      <c r="H12" s="5"/>
      <c r="I12" s="27"/>
      <c r="J12" s="5"/>
      <c r="K12" s="27"/>
      <c r="L12" s="31"/>
      <c r="M12" s="5"/>
      <c r="N12" s="27"/>
      <c r="O12" s="5"/>
      <c r="P12" s="27"/>
      <c r="Q12" s="31"/>
      <c r="R12" s="5"/>
      <c r="S12" s="46" t="s">
        <v>201</v>
      </c>
      <c r="T12" s="5" t="str">
        <f>INDEX('Nike pace chart'!$BO$9:$BO$16,MATCH('Nike training program_10k'!S12,'Nike pace chart'!$BY$9:$BY$16,0))</f>
        <v>05:39</v>
      </c>
      <c r="U12" s="99">
        <f>INDEX('Nike pace chart'!$BV$9:$BV$16,MATCH('Nike training program_10k'!S12,'Nike pace chart'!$BY$9:$BY$16,0))/1000*1</f>
        <v>0.18</v>
      </c>
      <c r="V12" s="31" t="s">
        <v>225</v>
      </c>
      <c r="W12" s="5"/>
      <c r="X12" s="27"/>
      <c r="Y12" s="5"/>
      <c r="Z12" s="27"/>
      <c r="AA12" s="28"/>
      <c r="AB12" s="105"/>
      <c r="AC12" s="5"/>
      <c r="AD12" s="27"/>
      <c r="AE12" s="5"/>
      <c r="AF12" s="5"/>
      <c r="AG12" s="27"/>
      <c r="AH12" s="6"/>
      <c r="AI12" s="5"/>
      <c r="AJ12" s="27"/>
      <c r="AK12" s="5"/>
      <c r="AL12" s="5"/>
      <c r="AM12" s="27"/>
      <c r="AN12" s="31"/>
      <c r="AO12" s="5"/>
      <c r="AP12" s="27"/>
      <c r="AQ12" s="5"/>
      <c r="AR12" s="5"/>
      <c r="AS12" s="27"/>
      <c r="AT12" s="31"/>
      <c r="AU12" s="5"/>
      <c r="AV12" s="46" t="s">
        <v>201</v>
      </c>
      <c r="AW12" s="5" t="str">
        <f>INDEX('Nike pace chart'!$BO$9:$BO$16,MATCH('Nike training program_10k'!AV12,'Nike pace chart'!$BY$9:$BY$16,0))</f>
        <v>05:39</v>
      </c>
      <c r="AX12" s="81">
        <f t="shared" si="3"/>
        <v>10.619469026548673</v>
      </c>
      <c r="AY12" s="99">
        <v>0.15</v>
      </c>
      <c r="AZ12" s="31"/>
      <c r="BA12" s="5"/>
      <c r="BB12" s="27"/>
      <c r="BC12" s="5"/>
      <c r="BD12" s="5"/>
      <c r="BE12" s="27"/>
      <c r="BF12" s="28"/>
      <c r="BI12" s="1">
        <v>0.15</v>
      </c>
    </row>
    <row r="13" spans="2:62" hidden="1" outlineLevel="1" x14ac:dyDescent="0.25">
      <c r="B13" s="37" t="s">
        <v>204</v>
      </c>
      <c r="C13" s="5"/>
      <c r="D13" s="27"/>
      <c r="E13" s="5"/>
      <c r="F13" s="27"/>
      <c r="G13" s="6"/>
      <c r="H13" s="5"/>
      <c r="I13" s="27"/>
      <c r="J13" s="5"/>
      <c r="K13" s="27"/>
      <c r="L13" s="31"/>
      <c r="M13" s="5"/>
      <c r="N13" s="27"/>
      <c r="O13" s="5"/>
      <c r="P13" s="27"/>
      <c r="Q13" s="31"/>
      <c r="R13" s="5">
        <v>1</v>
      </c>
      <c r="S13" s="48" t="s">
        <v>198</v>
      </c>
      <c r="T13" s="5" t="str">
        <f>INDEX('Nike pace chart'!$BO$9:$BO$16,MATCH('Nike training program_10k'!S13,'Nike pace chart'!$BY$9:$BY$16,0))</f>
        <v>04:46</v>
      </c>
      <c r="U13" s="99">
        <f>INDEX('Nike pace chart'!$BV$9:$BV$16,MATCH('Nike training program_10k'!S13,'Nike pace chart'!$BY$9:$BY$16,0))/1000*2</f>
        <v>0.42</v>
      </c>
      <c r="V13" s="31" t="s">
        <v>228</v>
      </c>
      <c r="W13" s="5"/>
      <c r="X13" s="27"/>
      <c r="Y13" s="5"/>
      <c r="Z13" s="27"/>
      <c r="AA13" s="28"/>
      <c r="AB13" s="105"/>
      <c r="AC13" s="5"/>
      <c r="AD13" s="27"/>
      <c r="AE13" s="5"/>
      <c r="AF13" s="5"/>
      <c r="AG13" s="27"/>
      <c r="AH13" s="6"/>
      <c r="AI13" s="5"/>
      <c r="AJ13" s="27"/>
      <c r="AK13" s="5"/>
      <c r="AL13" s="5"/>
      <c r="AM13" s="27"/>
      <c r="AN13" s="31"/>
      <c r="AO13" s="5"/>
      <c r="AP13" s="27"/>
      <c r="AQ13" s="5"/>
      <c r="AR13" s="5"/>
      <c r="AS13" s="27"/>
      <c r="AT13" s="31"/>
      <c r="AU13" s="5"/>
      <c r="AV13" s="27"/>
      <c r="AW13" s="5"/>
      <c r="AX13" s="5"/>
      <c r="AY13" s="99"/>
      <c r="AZ13" s="31"/>
      <c r="BA13" s="5"/>
      <c r="BB13" s="27"/>
      <c r="BC13" s="5"/>
      <c r="BD13" s="5"/>
      <c r="BE13" s="27"/>
      <c r="BF13" s="28"/>
    </row>
    <row r="14" spans="2:62" hidden="1" outlineLevel="1" x14ac:dyDescent="0.25">
      <c r="B14" s="37" t="s">
        <v>204</v>
      </c>
      <c r="C14" s="5"/>
      <c r="D14" s="27"/>
      <c r="E14" s="5"/>
      <c r="F14" s="27"/>
      <c r="G14" s="6"/>
      <c r="H14" s="5"/>
      <c r="I14" s="27"/>
      <c r="J14" s="5"/>
      <c r="K14" s="27"/>
      <c r="L14" s="31"/>
      <c r="M14" s="5"/>
      <c r="N14" s="27"/>
      <c r="O14" s="5"/>
      <c r="P14" s="27"/>
      <c r="Q14" s="31"/>
      <c r="R14" s="5"/>
      <c r="S14" s="46" t="s">
        <v>201</v>
      </c>
      <c r="T14" s="5" t="str">
        <f>INDEX('Nike pace chart'!$BO$9:$BO$16,MATCH('Nike training program_10k'!S14,'Nike pace chart'!$BY$9:$BY$16,0))</f>
        <v>05:39</v>
      </c>
      <c r="U14" s="99">
        <f>INDEX('Nike pace chart'!$BV$9:$BV$16,MATCH('Nike training program_10k'!S14,'Nike pace chart'!$BY$9:$BY$16,0))/1000*1</f>
        <v>0.18</v>
      </c>
      <c r="V14" s="31" t="s">
        <v>225</v>
      </c>
      <c r="W14" s="5"/>
      <c r="X14" s="27"/>
      <c r="Y14" s="5"/>
      <c r="Z14" s="27"/>
      <c r="AA14" s="28"/>
      <c r="AB14" s="105"/>
      <c r="AC14" s="5"/>
      <c r="AD14" s="27"/>
      <c r="AE14" s="5"/>
      <c r="AF14" s="5"/>
      <c r="AG14" s="27"/>
      <c r="AH14" s="6"/>
      <c r="AI14" s="5"/>
      <c r="AJ14" s="27"/>
      <c r="AK14" s="5"/>
      <c r="AL14" s="5"/>
      <c r="AM14" s="27"/>
      <c r="AN14" s="31"/>
      <c r="AO14" s="5"/>
      <c r="AP14" s="27"/>
      <c r="AQ14" s="5"/>
      <c r="AR14" s="5"/>
      <c r="AS14" s="27"/>
      <c r="AT14" s="31"/>
      <c r="AU14" s="5"/>
      <c r="AV14" s="27"/>
      <c r="AW14" s="5"/>
      <c r="AX14" s="5"/>
      <c r="AY14" s="99"/>
      <c r="AZ14" s="31"/>
      <c r="BA14" s="5"/>
      <c r="BB14" s="27"/>
      <c r="BC14" s="5"/>
      <c r="BD14" s="5"/>
      <c r="BE14" s="27"/>
      <c r="BF14" s="28"/>
    </row>
    <row r="15" spans="2:62" hidden="1" outlineLevel="1" x14ac:dyDescent="0.25">
      <c r="B15" s="37" t="s">
        <v>204</v>
      </c>
      <c r="C15" s="5"/>
      <c r="D15" s="27"/>
      <c r="E15" s="5"/>
      <c r="F15" s="27"/>
      <c r="G15" s="6"/>
      <c r="H15" s="5"/>
      <c r="I15" s="27"/>
      <c r="J15" s="5"/>
      <c r="K15" s="27"/>
      <c r="L15" s="31"/>
      <c r="M15" s="5"/>
      <c r="N15" s="27"/>
      <c r="O15" s="5"/>
      <c r="P15" s="27"/>
      <c r="Q15" s="31"/>
      <c r="R15" s="5">
        <v>1</v>
      </c>
      <c r="S15" s="49" t="s">
        <v>195</v>
      </c>
      <c r="T15" s="5" t="str">
        <f>INDEX('Nike pace chart'!$BO$9:$BO$16,MATCH('Nike training program_10k'!S15,'Nike pace chart'!$BY$9:$BY$16,0))</f>
        <v>04:37</v>
      </c>
      <c r="U15" s="99">
        <f>INDEX('Nike pace chart'!$BV$9:$BV$16,MATCH('Nike training program_10k'!S15,'Nike pace chart'!$BY$9:$BY$16,0))/1000*1</f>
        <v>0.22</v>
      </c>
      <c r="V15" s="31" t="s">
        <v>225</v>
      </c>
      <c r="W15" s="5"/>
      <c r="X15" s="27"/>
      <c r="Y15" s="5"/>
      <c r="Z15" s="27"/>
      <c r="AA15" s="28"/>
      <c r="AB15" s="105"/>
      <c r="AC15" s="5"/>
      <c r="AD15" s="27"/>
      <c r="AE15" s="5"/>
      <c r="AF15" s="5"/>
      <c r="AG15" s="27"/>
      <c r="AH15" s="6"/>
      <c r="AI15" s="5"/>
      <c r="AJ15" s="27"/>
      <c r="AK15" s="5"/>
      <c r="AL15" s="5"/>
      <c r="AM15" s="27"/>
      <c r="AN15" s="31"/>
      <c r="AO15" s="5"/>
      <c r="AP15" s="27"/>
      <c r="AQ15" s="5"/>
      <c r="AR15" s="5"/>
      <c r="AS15" s="27"/>
      <c r="AT15" s="31"/>
      <c r="AU15" s="5"/>
      <c r="AV15" s="27"/>
      <c r="AW15" s="5"/>
      <c r="AX15" s="5"/>
      <c r="AY15" s="99"/>
      <c r="AZ15" s="31"/>
      <c r="BA15" s="5"/>
      <c r="BB15" s="27"/>
      <c r="BC15" s="5"/>
      <c r="BD15" s="5"/>
      <c r="BE15" s="27"/>
      <c r="BF15" s="28"/>
    </row>
    <row r="16" spans="2:62" hidden="1" outlineLevel="1" x14ac:dyDescent="0.25">
      <c r="B16" s="37" t="s">
        <v>204</v>
      </c>
      <c r="C16" s="5"/>
      <c r="D16" s="27"/>
      <c r="E16" s="5"/>
      <c r="F16" s="27"/>
      <c r="G16" s="6"/>
      <c r="H16" s="5"/>
      <c r="I16" s="27"/>
      <c r="J16" s="5"/>
      <c r="K16" s="27"/>
      <c r="L16" s="31"/>
      <c r="M16" s="5"/>
      <c r="N16" s="27"/>
      <c r="O16" s="5"/>
      <c r="P16" s="27"/>
      <c r="Q16" s="31"/>
      <c r="R16" s="5"/>
      <c r="S16" s="46" t="s">
        <v>201</v>
      </c>
      <c r="T16" s="5" t="str">
        <f>INDEX('Nike pace chart'!$BO$9:$BO$16,MATCH('Nike training program_10k'!S16,'Nike pace chart'!$BY$9:$BY$16,0))</f>
        <v>05:39</v>
      </c>
      <c r="U16" s="99">
        <f>INDEX('Nike pace chart'!$BV$9:$BV$16,MATCH('Nike training program_10k'!S16,'Nike pace chart'!$BY$9:$BY$16,0))/1000*1</f>
        <v>0.18</v>
      </c>
      <c r="V16" s="31" t="s">
        <v>225</v>
      </c>
      <c r="W16" s="5"/>
      <c r="X16" s="27"/>
      <c r="Y16" s="5"/>
      <c r="Z16" s="27"/>
      <c r="AA16" s="28"/>
      <c r="AB16" s="105"/>
      <c r="AC16" s="5"/>
      <c r="AD16" s="27"/>
      <c r="AE16" s="5"/>
      <c r="AF16" s="5"/>
      <c r="AG16" s="27"/>
      <c r="AH16" s="6"/>
      <c r="AI16" s="5"/>
      <c r="AJ16" s="27"/>
      <c r="AK16" s="5"/>
      <c r="AL16" s="5"/>
      <c r="AM16" s="27"/>
      <c r="AN16" s="31"/>
      <c r="AO16" s="5"/>
      <c r="AP16" s="27"/>
      <c r="AQ16" s="5"/>
      <c r="AR16" s="5"/>
      <c r="AS16" s="27"/>
      <c r="AT16" s="31"/>
      <c r="AU16" s="5"/>
      <c r="AV16" s="27"/>
      <c r="AW16" s="5"/>
      <c r="AX16" s="5"/>
      <c r="AY16" s="99"/>
      <c r="AZ16" s="31"/>
      <c r="BA16" s="5"/>
      <c r="BB16" s="27"/>
      <c r="BC16" s="5"/>
      <c r="BD16" s="5"/>
      <c r="BE16" s="27"/>
      <c r="BF16" s="28"/>
    </row>
    <row r="17" spans="2:62" hidden="1" outlineLevel="1" x14ac:dyDescent="0.25">
      <c r="B17" s="37" t="s">
        <v>204</v>
      </c>
      <c r="C17" s="5"/>
      <c r="D17" s="27"/>
      <c r="E17" s="5"/>
      <c r="F17" s="27"/>
      <c r="G17" s="6"/>
      <c r="H17" s="5"/>
      <c r="I17" s="27"/>
      <c r="J17" s="5"/>
      <c r="K17" s="27"/>
      <c r="L17" s="31"/>
      <c r="M17" s="5"/>
      <c r="N17" s="27"/>
      <c r="O17" s="5"/>
      <c r="P17" s="27"/>
      <c r="Q17" s="31"/>
      <c r="R17" s="5">
        <v>1</v>
      </c>
      <c r="S17" s="45" t="s">
        <v>241</v>
      </c>
      <c r="T17" s="5" t="str">
        <f>INDEX('Nike pace chart'!$BO$9:$BO$16,MATCH('Nike training program_10k'!S17,'Nike pace chart'!$BY$9:$BY$16,0))</f>
        <v>04:25</v>
      </c>
      <c r="U17" s="99">
        <f>INDEX('Nike pace chart'!$BV$9:$BV$16,MATCH('Nike training program_10k'!S17,'Nike pace chart'!$BY$9:$BY$16,0))/1000*0.75</f>
        <v>0.17250000000000001</v>
      </c>
      <c r="V17" s="31" t="s">
        <v>229</v>
      </c>
      <c r="W17" s="5"/>
      <c r="X17" s="27"/>
      <c r="Y17" s="5"/>
      <c r="Z17" s="27"/>
      <c r="AA17" s="28"/>
      <c r="AB17" s="105"/>
      <c r="AC17" s="5"/>
      <c r="AD17" s="27"/>
      <c r="AE17" s="5"/>
      <c r="AF17" s="5"/>
      <c r="AG17" s="27"/>
      <c r="AH17" s="6"/>
      <c r="AI17" s="5"/>
      <c r="AJ17" s="27"/>
      <c r="AK17" s="5"/>
      <c r="AL17" s="5"/>
      <c r="AM17" s="27"/>
      <c r="AN17" s="31"/>
      <c r="AO17" s="5"/>
      <c r="AP17" s="27"/>
      <c r="AQ17" s="5"/>
      <c r="AR17" s="5"/>
      <c r="AS17" s="27"/>
      <c r="AT17" s="31"/>
      <c r="AU17" s="5"/>
      <c r="AV17" s="27"/>
      <c r="AW17" s="5"/>
      <c r="AX17" s="5"/>
      <c r="AY17" s="99"/>
      <c r="AZ17" s="31"/>
      <c r="BA17" s="5"/>
      <c r="BB17" s="27"/>
      <c r="BC17" s="5"/>
      <c r="BD17" s="5"/>
      <c r="BE17" s="27"/>
      <c r="BF17" s="28"/>
    </row>
    <row r="18" spans="2:62" hidden="1" outlineLevel="1" x14ac:dyDescent="0.25">
      <c r="B18" s="37" t="s">
        <v>204</v>
      </c>
      <c r="C18" s="5"/>
      <c r="D18" s="27"/>
      <c r="E18" s="5"/>
      <c r="F18" s="27"/>
      <c r="G18" s="6"/>
      <c r="H18" s="5"/>
      <c r="I18" s="27"/>
      <c r="J18" s="5"/>
      <c r="K18" s="27"/>
      <c r="L18" s="31"/>
      <c r="M18" s="5"/>
      <c r="N18" s="27"/>
      <c r="O18" s="5"/>
      <c r="P18" s="27"/>
      <c r="Q18" s="31"/>
      <c r="R18" s="5"/>
      <c r="S18" s="46" t="s">
        <v>201</v>
      </c>
      <c r="T18" s="5" t="str">
        <f>INDEX('Nike pace chart'!$BO$9:$BO$16,MATCH('Nike training program_10k'!S18,'Nike pace chart'!$BY$9:$BY$16,0))</f>
        <v>05:39</v>
      </c>
      <c r="U18" s="99">
        <f>INDEX('Nike pace chart'!$BV$9:$BV$16,MATCH('Nike training program_10k'!S18,'Nike pace chart'!$BY$9:$BY$16,0))/1000*1</f>
        <v>0.18</v>
      </c>
      <c r="V18" s="31" t="s">
        <v>225</v>
      </c>
      <c r="W18" s="5"/>
      <c r="X18" s="27"/>
      <c r="Y18" s="5"/>
      <c r="Z18" s="27"/>
      <c r="AA18" s="28"/>
      <c r="AB18" s="105"/>
      <c r="AC18" s="5"/>
      <c r="AD18" s="27"/>
      <c r="AE18" s="5"/>
      <c r="AF18" s="5"/>
      <c r="AG18" s="27"/>
      <c r="AH18" s="6"/>
      <c r="AI18" s="5"/>
      <c r="AJ18" s="27"/>
      <c r="AK18" s="5"/>
      <c r="AL18" s="5"/>
      <c r="AM18" s="27"/>
      <c r="AN18" s="31"/>
      <c r="AO18" s="5"/>
      <c r="AP18" s="27"/>
      <c r="AQ18" s="5"/>
      <c r="AR18" s="5"/>
      <c r="AS18" s="27"/>
      <c r="AT18" s="31"/>
      <c r="AU18" s="5"/>
      <c r="AV18" s="27"/>
      <c r="AW18" s="5"/>
      <c r="AX18" s="5"/>
      <c r="AY18" s="99"/>
      <c r="AZ18" s="31"/>
      <c r="BA18" s="5"/>
      <c r="BB18" s="27"/>
      <c r="BC18" s="5"/>
      <c r="BD18" s="5"/>
      <c r="BE18" s="27"/>
      <c r="BF18" s="28"/>
    </row>
    <row r="19" spans="2:62" hidden="1" outlineLevel="1" x14ac:dyDescent="0.25">
      <c r="B19" s="37" t="s">
        <v>204</v>
      </c>
      <c r="C19" s="5"/>
      <c r="D19" s="27"/>
      <c r="E19" s="5"/>
      <c r="F19" s="27"/>
      <c r="G19" s="6"/>
      <c r="H19" s="5"/>
      <c r="I19" s="27"/>
      <c r="J19" s="5"/>
      <c r="K19" s="27"/>
      <c r="L19" s="31"/>
      <c r="M19" s="5"/>
      <c r="N19" s="27"/>
      <c r="O19" s="5"/>
      <c r="P19" s="27"/>
      <c r="Q19" s="31"/>
      <c r="R19" s="5">
        <v>1</v>
      </c>
      <c r="S19" s="51" t="s">
        <v>203</v>
      </c>
      <c r="T19" s="5" t="str">
        <f>INDEX('Nike pace chart'!$BO$9:$BO$16,MATCH('Nike training program_10k'!S19,'Nike pace chart'!$BY$9:$BY$16,0))</f>
        <v>04:13</v>
      </c>
      <c r="U19" s="99">
        <f>INDEX('Nike pace chart'!$BV$9:$BV$16,MATCH('Nike training program_10k'!S19,'Nike pace chart'!$BY$9:$BY$16,0))/1000*0.5</f>
        <v>0.12</v>
      </c>
      <c r="V19" s="31" t="s">
        <v>230</v>
      </c>
      <c r="W19" s="5"/>
      <c r="X19" s="27"/>
      <c r="Y19" s="5"/>
      <c r="Z19" s="27"/>
      <c r="AA19" s="28"/>
      <c r="AB19" s="105"/>
      <c r="AC19" s="5"/>
      <c r="AD19" s="27"/>
      <c r="AE19" s="5"/>
      <c r="AF19" s="5"/>
      <c r="AG19" s="27"/>
      <c r="AH19" s="6"/>
      <c r="AI19" s="5"/>
      <c r="AJ19" s="27"/>
      <c r="AK19" s="5"/>
      <c r="AL19" s="5"/>
      <c r="AM19" s="27"/>
      <c r="AN19" s="31"/>
      <c r="AO19" s="5"/>
      <c r="AP19" s="27"/>
      <c r="AQ19" s="5"/>
      <c r="AR19" s="5"/>
      <c r="AS19" s="27"/>
      <c r="AT19" s="31"/>
      <c r="AU19" s="5"/>
      <c r="AV19" s="27"/>
      <c r="AW19" s="5"/>
      <c r="AX19" s="5"/>
      <c r="AY19" s="99"/>
      <c r="AZ19" s="31"/>
      <c r="BA19" s="5"/>
      <c r="BB19" s="27"/>
      <c r="BC19" s="5"/>
      <c r="BD19" s="5"/>
      <c r="BE19" s="27"/>
      <c r="BF19" s="28"/>
    </row>
    <row r="20" spans="2:62" hidden="1" outlineLevel="1" x14ac:dyDescent="0.25">
      <c r="B20" s="37" t="s">
        <v>204</v>
      </c>
      <c r="C20" s="5"/>
      <c r="D20" s="27"/>
      <c r="E20" s="5"/>
      <c r="F20" s="27"/>
      <c r="G20" s="6"/>
      <c r="H20" s="5"/>
      <c r="I20" s="27"/>
      <c r="J20" s="5"/>
      <c r="K20" s="27"/>
      <c r="L20" s="31"/>
      <c r="M20" s="5"/>
      <c r="N20" s="27"/>
      <c r="O20" s="5"/>
      <c r="P20" s="27"/>
      <c r="Q20" s="31"/>
      <c r="R20" s="5"/>
      <c r="S20" s="46" t="s">
        <v>201</v>
      </c>
      <c r="T20" s="5" t="str">
        <f>INDEX('Nike pace chart'!$BO$9:$BO$16,MATCH('Nike training program_10k'!S20,'Nike pace chart'!$BY$9:$BY$16,0))</f>
        <v>05:39</v>
      </c>
      <c r="U20" s="99">
        <f>INDEX('Nike pace chart'!$BV$9:$BV$16,MATCH('Nike training program_10k'!S20,'Nike pace chart'!$BY$9:$BY$16,0))/1000*1</f>
        <v>0.18</v>
      </c>
      <c r="V20" s="31" t="s">
        <v>225</v>
      </c>
      <c r="W20" s="5"/>
      <c r="X20" s="27"/>
      <c r="Y20" s="5"/>
      <c r="Z20" s="27"/>
      <c r="AA20" s="28"/>
      <c r="AB20" s="105"/>
      <c r="AC20" s="5"/>
      <c r="AD20" s="27"/>
      <c r="AE20" s="5"/>
      <c r="AF20" s="5"/>
      <c r="AG20" s="27"/>
      <c r="AH20" s="6"/>
      <c r="AI20" s="5"/>
      <c r="AJ20" s="27"/>
      <c r="AK20" s="5"/>
      <c r="AL20" s="5"/>
      <c r="AM20" s="27"/>
      <c r="AN20" s="31"/>
      <c r="AO20" s="5"/>
      <c r="AP20" s="27"/>
      <c r="AQ20" s="5"/>
      <c r="AR20" s="5"/>
      <c r="AS20" s="27"/>
      <c r="AT20" s="31"/>
      <c r="AU20" s="5"/>
      <c r="AV20" s="27"/>
      <c r="AW20" s="5"/>
      <c r="AX20" s="5"/>
      <c r="AY20" s="99"/>
      <c r="AZ20" s="31"/>
      <c r="BA20" s="5"/>
      <c r="BB20" s="27"/>
      <c r="BC20" s="5"/>
      <c r="BD20" s="5"/>
      <c r="BE20" s="27"/>
      <c r="BF20" s="28"/>
    </row>
    <row r="21" spans="2:62" s="36" customFormat="1" hidden="1" outlineLevel="1" x14ac:dyDescent="0.25">
      <c r="B21" s="38" t="s">
        <v>204</v>
      </c>
      <c r="C21" s="32"/>
      <c r="D21" s="33"/>
      <c r="E21" s="32"/>
      <c r="F21" s="33"/>
      <c r="G21" s="34"/>
      <c r="H21" s="32"/>
      <c r="I21" s="33"/>
      <c r="J21" s="32"/>
      <c r="K21" s="33"/>
      <c r="L21" s="35"/>
      <c r="M21" s="32"/>
      <c r="N21" s="33"/>
      <c r="O21" s="32"/>
      <c r="P21" s="33"/>
      <c r="Q21" s="35"/>
      <c r="R21" s="32">
        <v>1</v>
      </c>
      <c r="S21" s="50" t="s">
        <v>203</v>
      </c>
      <c r="T21" s="32" t="str">
        <f>INDEX('Nike pace chart'!$BO$9:$BO$16,MATCH('Nike training program_10k'!S21,'Nike pace chart'!$BY$9:$BY$16,0))</f>
        <v>04:13</v>
      </c>
      <c r="U21" s="93">
        <f>INDEX('Nike pace chart'!$BV$9:$BV$16,MATCH('Nike training program_10k'!S21,'Nike pace chart'!$BY$9:$BY$16,0))/1000*0.25</f>
        <v>0.06</v>
      </c>
      <c r="V21" s="35" t="s">
        <v>231</v>
      </c>
      <c r="W21" s="32"/>
      <c r="X21" s="33"/>
      <c r="Y21" s="32"/>
      <c r="Z21" s="33"/>
      <c r="AA21" s="113"/>
      <c r="AB21" s="114"/>
      <c r="AC21" s="32"/>
      <c r="AD21" s="33"/>
      <c r="AE21" s="32"/>
      <c r="AF21" s="32"/>
      <c r="AG21" s="33"/>
      <c r="AH21" s="34"/>
      <c r="AI21" s="32"/>
      <c r="AJ21" s="33"/>
      <c r="AK21" s="32"/>
      <c r="AL21" s="32"/>
      <c r="AM21" s="33"/>
      <c r="AN21" s="35"/>
      <c r="AO21" s="32"/>
      <c r="AP21" s="33"/>
      <c r="AQ21" s="32"/>
      <c r="AR21" s="32"/>
      <c r="AS21" s="33"/>
      <c r="AT21" s="35"/>
      <c r="AU21" s="32"/>
      <c r="AV21" s="33"/>
      <c r="AW21" s="32"/>
      <c r="AX21" s="32"/>
      <c r="AY21" s="93"/>
      <c r="AZ21" s="35"/>
      <c r="BA21" s="32"/>
      <c r="BB21" s="33"/>
      <c r="BC21" s="32"/>
      <c r="BD21" s="32"/>
      <c r="BE21" s="33"/>
      <c r="BF21" s="113"/>
      <c r="BI21" s="95"/>
    </row>
    <row r="22" spans="2:62" hidden="1" outlineLevel="1" x14ac:dyDescent="0.25">
      <c r="B22" s="11" t="s">
        <v>232</v>
      </c>
      <c r="C22" s="5">
        <v>1</v>
      </c>
      <c r="D22" s="46" t="s">
        <v>201</v>
      </c>
      <c r="E22" s="5" t="str">
        <f>INDEX('Nike pace chart'!$BO$9:$BO$16,MATCH('Nike training program_10k'!D22,'Nike pace chart'!$BY$9:$BY$16,0))</f>
        <v>05:39</v>
      </c>
      <c r="F22" s="99">
        <f>INDEX('Nike pace chart'!$BV$9:$BV$16,MATCH('Nike training program_10k'!D22,'Nike pace chart'!$BY$9:$BY$16,0))/1000*25</f>
        <v>4.5</v>
      </c>
      <c r="G22" s="31" t="s">
        <v>226</v>
      </c>
      <c r="H22" s="5">
        <v>1</v>
      </c>
      <c r="I22" s="27" t="s">
        <v>255</v>
      </c>
      <c r="J22" s="5" t="s">
        <v>223</v>
      </c>
      <c r="K22" s="27" t="s">
        <v>223</v>
      </c>
      <c r="L22" s="31" t="s">
        <v>227</v>
      </c>
      <c r="M22" s="5">
        <v>1</v>
      </c>
      <c r="N22" s="46" t="s">
        <v>201</v>
      </c>
      <c r="O22" s="5" t="str">
        <f>INDEX('Nike pace chart'!$BO$9:$BO$16,MATCH('Nike training program_10k'!N22,'Nike pace chart'!$BY$9:$BY$16,0))</f>
        <v>05:39</v>
      </c>
      <c r="P22" s="99">
        <f>INDEX('Nike pace chart'!$BV$9:$BV$16,MATCH('Nike training program_10k'!N22,'Nike pace chart'!$BY$9:$BY$16,0))/1000*15</f>
        <v>2.6999999999999997</v>
      </c>
      <c r="Q22" s="31" t="s">
        <v>233</v>
      </c>
      <c r="R22" s="5">
        <v>1</v>
      </c>
      <c r="S22" s="27" t="s">
        <v>255</v>
      </c>
      <c r="T22" s="5" t="s">
        <v>223</v>
      </c>
      <c r="U22" s="99" t="s">
        <v>223</v>
      </c>
      <c r="V22" s="31" t="s">
        <v>234</v>
      </c>
      <c r="W22" s="5">
        <v>1</v>
      </c>
      <c r="X22" s="51" t="s">
        <v>241</v>
      </c>
      <c r="Y22" s="5" t="str">
        <f>INDEX('Nike pace chart'!$BO$9:$BO$16,MATCH('Nike training program_10k'!X22,'Nike pace chart'!$BY$9:$BY$16,0))</f>
        <v>04:25</v>
      </c>
      <c r="Z22" s="27">
        <v>5</v>
      </c>
      <c r="AA22" s="28" t="s">
        <v>223</v>
      </c>
      <c r="AB22" s="105"/>
      <c r="AC22" s="5">
        <v>1</v>
      </c>
      <c r="AD22" s="46" t="s">
        <v>201</v>
      </c>
      <c r="AE22" s="84" t="s">
        <v>665</v>
      </c>
      <c r="AF22" s="81">
        <f t="shared" ref="AF22" si="5">3600/(_xlfn.TEXTBEFORE(AE22,":")*60+_xlfn.TEXTAFTER(AE22,":"))</f>
        <v>9.8360655737704921</v>
      </c>
      <c r="AG22" s="27">
        <v>4</v>
      </c>
      <c r="AH22" s="31"/>
      <c r="AI22" s="5">
        <v>1</v>
      </c>
      <c r="AJ22" s="27" t="s">
        <v>255</v>
      </c>
      <c r="AK22" s="5" t="s">
        <v>223</v>
      </c>
      <c r="AL22" s="81"/>
      <c r="AM22" s="27" t="s">
        <v>223</v>
      </c>
      <c r="AN22" s="31" t="s">
        <v>227</v>
      </c>
      <c r="AO22" s="5">
        <v>1</v>
      </c>
      <c r="AP22" s="46" t="s">
        <v>201</v>
      </c>
      <c r="AQ22" s="84" t="s">
        <v>665</v>
      </c>
      <c r="AR22" s="81">
        <f t="shared" ref="AR22" si="6">3600/(_xlfn.TEXTBEFORE(AQ22,":")*60+_xlfn.TEXTAFTER(AQ22,":"))</f>
        <v>9.8360655737704921</v>
      </c>
      <c r="AS22" s="27">
        <v>2.4</v>
      </c>
      <c r="AT22" s="31"/>
      <c r="AU22" s="5">
        <v>1</v>
      </c>
      <c r="AV22" s="27" t="s">
        <v>255</v>
      </c>
      <c r="AW22" s="5" t="s">
        <v>223</v>
      </c>
      <c r="AX22" s="81"/>
      <c r="AY22" s="99" t="s">
        <v>223</v>
      </c>
      <c r="AZ22" s="31" t="s">
        <v>234</v>
      </c>
      <c r="BA22" s="5">
        <v>1</v>
      </c>
      <c r="BB22" s="45" t="s">
        <v>241</v>
      </c>
      <c r="BC22" s="84">
        <v>3.5879629629629629E-3</v>
      </c>
      <c r="BD22" s="81">
        <f>3600/(MINUTE(BC22)*60+SECOND(BC22))</f>
        <v>11.612903225806452</v>
      </c>
      <c r="BE22" s="27">
        <v>1</v>
      </c>
      <c r="BF22" s="28" t="s">
        <v>223</v>
      </c>
    </row>
    <row r="23" spans="2:62" hidden="1" outlineLevel="1" x14ac:dyDescent="0.25">
      <c r="B23" s="37" t="s">
        <v>232</v>
      </c>
      <c r="C23" s="5"/>
      <c r="D23" s="27"/>
      <c r="E23" s="5"/>
      <c r="F23" s="27"/>
      <c r="G23" s="6"/>
      <c r="H23" s="5">
        <v>3</v>
      </c>
      <c r="I23" s="49" t="s">
        <v>195</v>
      </c>
      <c r="J23" s="5" t="str">
        <f>INDEX('Nike pace chart'!$BO$9:$BO$16,MATCH('Nike training program_10k'!I23,'Nike pace chart'!$BY$9:$BY$16,0))</f>
        <v>04:37</v>
      </c>
      <c r="K23" s="99">
        <f>INDEX('Nike pace chart'!$BV$9:$BV$16,MATCH('Nike training program_10k'!I23,'Nike pace chart'!$BY$9:$BY$16,0))/1000*2</f>
        <v>0.44</v>
      </c>
      <c r="L23" s="31" t="s">
        <v>228</v>
      </c>
      <c r="M23" s="5"/>
      <c r="N23" s="27"/>
      <c r="O23" s="5"/>
      <c r="P23" s="27"/>
      <c r="Q23" s="31"/>
      <c r="R23" s="5">
        <v>1</v>
      </c>
      <c r="S23" s="45" t="s">
        <v>241</v>
      </c>
      <c r="T23" s="5" t="str">
        <f>INDEX('Nike pace chart'!$BO$9:$BO$16,MATCH('Nike training program_10k'!S23,'Nike pace chart'!$BY$9:$BY$16,0))</f>
        <v>04:25</v>
      </c>
      <c r="U23" s="99">
        <f>INDEX('Nike pace chart'!$BV$9:$BV$16,MATCH('Nike training program_10k'!S23,'Nike pace chart'!$BY$9:$BY$16,0))/1000*1</f>
        <v>0.23</v>
      </c>
      <c r="V23" s="31" t="s">
        <v>225</v>
      </c>
      <c r="W23" s="5"/>
      <c r="X23" s="27"/>
      <c r="Y23" s="5"/>
      <c r="Z23" s="27"/>
      <c r="AA23" s="28"/>
      <c r="AB23" s="105"/>
      <c r="AC23" s="5"/>
      <c r="AD23" s="27"/>
      <c r="AE23" s="84"/>
      <c r="AF23" s="81"/>
      <c r="AG23" s="27"/>
      <c r="AH23" s="6"/>
      <c r="AI23" s="5">
        <v>8</v>
      </c>
      <c r="AJ23" s="49" t="s">
        <v>195</v>
      </c>
      <c r="AK23" s="5" t="str">
        <f>INDEX('Nike pace chart'!$BO$9:$BO$16,MATCH('Nike training program_10k'!AJ23,'Nike pace chart'!$BY$9:$BY$16,0))</f>
        <v>04:37</v>
      </c>
      <c r="AL23" s="81">
        <f t="shared" ref="AL23:AL24" si="7">3600/(_xlfn.TEXTBEFORE(AK23,":")*60+_xlfn.TEXTAFTER(AK23,":"))</f>
        <v>12.996389891696751</v>
      </c>
      <c r="AM23" s="99">
        <v>0.5</v>
      </c>
      <c r="AN23" s="31"/>
      <c r="AO23" s="5"/>
      <c r="AP23" s="27"/>
      <c r="AQ23" s="84"/>
      <c r="AR23" s="81"/>
      <c r="AS23" s="27"/>
      <c r="AT23" s="31"/>
      <c r="AU23" s="5">
        <v>1</v>
      </c>
      <c r="AV23" s="45" t="s">
        <v>241</v>
      </c>
      <c r="AW23" s="127" t="s">
        <v>39</v>
      </c>
      <c r="AX23" s="81">
        <f t="shared" ref="AX23:AX28" si="8">3600/(_xlfn.TEXTBEFORE(AW23,":")*60+_xlfn.TEXTAFTER(AW23,":"))</f>
        <v>8</v>
      </c>
      <c r="AY23" s="99">
        <v>0.2</v>
      </c>
      <c r="AZ23" s="31" t="s">
        <v>225</v>
      </c>
      <c r="BA23" s="5"/>
      <c r="BB23" s="27"/>
      <c r="BC23" s="84">
        <v>3.472222222222222E-3</v>
      </c>
      <c r="BD23" s="81">
        <f t="shared" ref="BD23:BD26" si="9">3600/(MINUTE(BC23)*60+SECOND(BC23))</f>
        <v>12</v>
      </c>
      <c r="BE23" s="27">
        <v>1</v>
      </c>
      <c r="BF23" s="28"/>
    </row>
    <row r="24" spans="2:62" hidden="1" outlineLevel="1" x14ac:dyDescent="0.25">
      <c r="B24" s="37" t="s">
        <v>232</v>
      </c>
      <c r="C24" s="5"/>
      <c r="D24" s="27"/>
      <c r="E24" s="5"/>
      <c r="F24" s="27"/>
      <c r="G24" s="6"/>
      <c r="H24" s="5"/>
      <c r="I24" s="46" t="s">
        <v>201</v>
      </c>
      <c r="J24" s="5" t="str">
        <f>INDEX('Nike pace chart'!$BO$9:$BO$16,MATCH('Nike training program_10k'!I24,'Nike pace chart'!$BY$9:$BY$16,0))</f>
        <v>05:39</v>
      </c>
      <c r="K24" s="99">
        <f>INDEX('Nike pace chart'!$BV$9:$BV$16,MATCH('Nike training program_10k'!I24,'Nike pace chart'!$BY$9:$BY$16,0))/1000*1</f>
        <v>0.18</v>
      </c>
      <c r="L24" s="31" t="s">
        <v>225</v>
      </c>
      <c r="M24" s="5"/>
      <c r="N24" s="27"/>
      <c r="O24" s="5"/>
      <c r="P24" s="27"/>
      <c r="Q24" s="31"/>
      <c r="R24" s="5"/>
      <c r="S24" s="46" t="s">
        <v>201</v>
      </c>
      <c r="T24" s="5" t="str">
        <f>INDEX('Nike pace chart'!$BO$9:$BO$16,MATCH('Nike training program_10k'!S24,'Nike pace chart'!$BY$9:$BY$16,0))</f>
        <v>05:39</v>
      </c>
      <c r="U24" s="99">
        <f>INDEX('Nike pace chart'!$BV$9:$BV$16,MATCH('Nike training program_10k'!S24,'Nike pace chart'!$BY$9:$BY$16,0))/1000*0.5</f>
        <v>0.09</v>
      </c>
      <c r="V24" s="31" t="s">
        <v>230</v>
      </c>
      <c r="W24" s="5"/>
      <c r="X24" s="27"/>
      <c r="Y24" s="5"/>
      <c r="Z24" s="5"/>
      <c r="AA24" s="5"/>
      <c r="AB24" s="106"/>
      <c r="AC24" s="5"/>
      <c r="AD24" s="27"/>
      <c r="AE24" s="84"/>
      <c r="AF24" s="81"/>
      <c r="AG24" s="27"/>
      <c r="AH24" s="6"/>
      <c r="AI24" s="5"/>
      <c r="AJ24" s="46" t="s">
        <v>201</v>
      </c>
      <c r="AK24" s="5" t="str">
        <f>INDEX('Nike pace chart'!$BO$9:$BO$16,MATCH('Nike training program_10k'!AJ24,'Nike pace chart'!$BY$9:$BY$16,0))</f>
        <v>05:39</v>
      </c>
      <c r="AL24" s="81">
        <f t="shared" si="7"/>
        <v>10.619469026548673</v>
      </c>
      <c r="AM24" s="99">
        <v>0.2</v>
      </c>
      <c r="AN24" s="31"/>
      <c r="AO24" s="5"/>
      <c r="AP24" s="27"/>
      <c r="AQ24" s="84"/>
      <c r="AR24" s="81"/>
      <c r="AS24" s="27"/>
      <c r="AT24" s="31"/>
      <c r="AU24" s="5"/>
      <c r="AV24" s="46" t="s">
        <v>201</v>
      </c>
      <c r="AW24" s="5" t="str">
        <f>INDEX('Nike pace chart'!$BO$9:$BO$16,MATCH('Nike training program_10k'!AV24,'Nike pace chart'!$BY$9:$BY$16,0))</f>
        <v>05:39</v>
      </c>
      <c r="AX24" s="81">
        <f t="shared" si="8"/>
        <v>10.619469026548673</v>
      </c>
      <c r="AY24" s="99">
        <v>0.1</v>
      </c>
      <c r="AZ24" s="31" t="s">
        <v>230</v>
      </c>
      <c r="BA24" s="5"/>
      <c r="BB24" s="27"/>
      <c r="BC24" s="84">
        <v>3.472222222222222E-3</v>
      </c>
      <c r="BD24" s="81">
        <f t="shared" si="9"/>
        <v>12</v>
      </c>
      <c r="BE24" s="27">
        <v>1</v>
      </c>
      <c r="BF24" s="5"/>
      <c r="BG24" s="5"/>
      <c r="BH24" s="5"/>
      <c r="BI24" s="107"/>
      <c r="BJ24" s="5"/>
    </row>
    <row r="25" spans="2:62" hidden="1" outlineLevel="1" x14ac:dyDescent="0.25">
      <c r="B25" s="37" t="s">
        <v>232</v>
      </c>
      <c r="C25" s="5"/>
      <c r="D25" s="27"/>
      <c r="E25" s="5"/>
      <c r="F25" s="27"/>
      <c r="G25" s="6"/>
      <c r="H25" s="5">
        <v>1</v>
      </c>
      <c r="I25" s="49" t="s">
        <v>195</v>
      </c>
      <c r="J25" s="5" t="str">
        <f>INDEX('Nike pace chart'!$BO$9:$BO$16,MATCH('Nike training program_10k'!I25,'Nike pace chart'!$BY$9:$BY$16,0))</f>
        <v>04:37</v>
      </c>
      <c r="K25" s="99">
        <f>INDEX('Nike pace chart'!$BV$9:$BV$16,MATCH('Nike training program_10k'!I25,'Nike pace chart'!$BY$9:$BY$16,0))/1000*2</f>
        <v>0.44</v>
      </c>
      <c r="L25" s="31" t="s">
        <v>228</v>
      </c>
      <c r="M25" s="5"/>
      <c r="N25" s="27"/>
      <c r="O25" s="5"/>
      <c r="P25" s="27"/>
      <c r="Q25" s="31"/>
      <c r="R25" s="5">
        <v>1</v>
      </c>
      <c r="S25" s="49" t="s">
        <v>195</v>
      </c>
      <c r="T25" s="5" t="str">
        <f>INDEX('Nike pace chart'!$BO$9:$BO$16,MATCH('Nike training program_10k'!S25,'Nike pace chart'!$BY$9:$BY$16,0))</f>
        <v>04:37</v>
      </c>
      <c r="U25" s="99">
        <f>INDEX('Nike pace chart'!$BV$9:$BV$16,MATCH('Nike training program_10k'!S25,'Nike pace chart'!$BY$9:$BY$16,0))/1000*3</f>
        <v>0.66</v>
      </c>
      <c r="V25" s="31" t="s">
        <v>235</v>
      </c>
      <c r="W25" s="5"/>
      <c r="X25" s="27"/>
      <c r="Y25" s="108"/>
      <c r="Z25" s="108"/>
      <c r="AA25" s="108"/>
      <c r="AB25" s="109"/>
      <c r="AC25" s="5"/>
      <c r="AD25" s="27"/>
      <c r="AE25" s="84"/>
      <c r="AF25" s="81"/>
      <c r="AG25" s="27"/>
      <c r="AH25" s="6"/>
      <c r="AI25" s="5"/>
      <c r="AJ25" s="27"/>
      <c r="AK25" s="5"/>
      <c r="AL25" s="81"/>
      <c r="AM25" s="99"/>
      <c r="AN25" s="31"/>
      <c r="AO25" s="5"/>
      <c r="AP25" s="27"/>
      <c r="AQ25" s="5"/>
      <c r="AR25" s="81"/>
      <c r="AS25" s="27"/>
      <c r="AT25" s="31"/>
      <c r="AU25" s="5">
        <v>1</v>
      </c>
      <c r="AV25" s="49" t="s">
        <v>195</v>
      </c>
      <c r="AW25" s="5" t="str">
        <f>INDEX('Nike pace chart'!$BO$9:$BO$16,MATCH('Nike training program_10k'!AV25,'Nike pace chart'!$BY$9:$BY$16,0))</f>
        <v>04:37</v>
      </c>
      <c r="AX25" s="81">
        <f t="shared" si="8"/>
        <v>12.996389891696751</v>
      </c>
      <c r="AY25" s="99">
        <v>0.6</v>
      </c>
      <c r="AZ25" s="31" t="s">
        <v>235</v>
      </c>
      <c r="BA25" s="5"/>
      <c r="BB25" s="27"/>
      <c r="BC25" s="108">
        <v>3.3564814814814816E-3</v>
      </c>
      <c r="BD25" s="81">
        <f t="shared" si="9"/>
        <v>12.413793103448276</v>
      </c>
      <c r="BE25" s="27">
        <v>1</v>
      </c>
      <c r="BF25" s="108"/>
      <c r="BG25" s="108"/>
      <c r="BH25" s="108"/>
      <c r="BJ25" s="108"/>
    </row>
    <row r="26" spans="2:62" hidden="1" outlineLevel="1" x14ac:dyDescent="0.25">
      <c r="B26" s="37" t="s">
        <v>232</v>
      </c>
      <c r="C26" s="5"/>
      <c r="D26" s="27"/>
      <c r="E26" s="5"/>
      <c r="F26" s="27"/>
      <c r="G26" s="6"/>
      <c r="H26" s="5"/>
      <c r="I26" s="46" t="s">
        <v>201</v>
      </c>
      <c r="J26" s="5" t="str">
        <f>INDEX('Nike pace chart'!$BO$9:$BO$16,MATCH('Nike training program_10k'!I26,'Nike pace chart'!$BY$9:$BY$16,0))</f>
        <v>05:39</v>
      </c>
      <c r="K26" s="99">
        <f>INDEX('Nike pace chart'!$BV$9:$BV$16,MATCH('Nike training program_10k'!I26,'Nike pace chart'!$BY$9:$BY$16,0))/1000*2</f>
        <v>0.36</v>
      </c>
      <c r="L26" s="31" t="s">
        <v>228</v>
      </c>
      <c r="M26" s="5"/>
      <c r="N26" s="27"/>
      <c r="O26" s="5"/>
      <c r="P26" s="27"/>
      <c r="Q26" s="31"/>
      <c r="R26" s="5"/>
      <c r="S26" s="46" t="s">
        <v>201</v>
      </c>
      <c r="T26" s="5" t="str">
        <f>INDEX('Nike pace chart'!$BO$9:$BO$16,MATCH('Nike training program_10k'!S26,'Nike pace chart'!$BY$9:$BY$16,0))</f>
        <v>05:39</v>
      </c>
      <c r="U26" s="99">
        <f>INDEX('Nike pace chart'!$BV$9:$BV$16,MATCH('Nike training program_10k'!S26,'Nike pace chart'!$BY$9:$BY$16,0))/1000*1.5</f>
        <v>0.27</v>
      </c>
      <c r="V26" s="31" t="s">
        <v>236</v>
      </c>
      <c r="W26" s="5"/>
      <c r="X26" s="27"/>
      <c r="Y26" s="5"/>
      <c r="Z26" s="27"/>
      <c r="AA26" s="28"/>
      <c r="AB26" s="105"/>
      <c r="AC26" s="5"/>
      <c r="AD26" s="27"/>
      <c r="AE26" s="5"/>
      <c r="AF26" s="5"/>
      <c r="AG26" s="27"/>
      <c r="AH26" s="6"/>
      <c r="AI26" s="5"/>
      <c r="AJ26" s="27"/>
      <c r="AK26" s="5"/>
      <c r="AL26" s="5"/>
      <c r="AM26" s="99"/>
      <c r="AN26" s="31"/>
      <c r="AO26" s="5"/>
      <c r="AP26" s="27"/>
      <c r="AQ26" s="5"/>
      <c r="AR26" s="5"/>
      <c r="AS26" s="27"/>
      <c r="AT26" s="31"/>
      <c r="AU26" s="5"/>
      <c r="AV26" s="46" t="s">
        <v>201</v>
      </c>
      <c r="AW26" s="5" t="str">
        <f>INDEX('Nike pace chart'!$BO$9:$BO$16,MATCH('Nike training program_10k'!AV26,'Nike pace chart'!$BY$9:$BY$16,0))</f>
        <v>05:39</v>
      </c>
      <c r="AX26" s="81">
        <f t="shared" si="8"/>
        <v>10.619469026548673</v>
      </c>
      <c r="AY26" s="99">
        <v>0.3</v>
      </c>
      <c r="AZ26" s="31" t="s">
        <v>236</v>
      </c>
      <c r="BA26" s="5"/>
      <c r="BB26" s="27"/>
      <c r="BC26" s="84">
        <v>3.3564814814814816E-3</v>
      </c>
      <c r="BD26" s="81">
        <f t="shared" si="9"/>
        <v>12.413793103448276</v>
      </c>
      <c r="BE26" s="27">
        <v>1</v>
      </c>
      <c r="BF26" s="28"/>
    </row>
    <row r="27" spans="2:62" hidden="1" outlineLevel="1" x14ac:dyDescent="0.25">
      <c r="B27" s="37" t="s">
        <v>232</v>
      </c>
      <c r="C27" s="5"/>
      <c r="D27" s="27"/>
      <c r="E27" s="5"/>
      <c r="F27" s="27"/>
      <c r="G27" s="6"/>
      <c r="H27" s="5">
        <v>3</v>
      </c>
      <c r="I27" s="49" t="s">
        <v>195</v>
      </c>
      <c r="J27" s="5" t="str">
        <f>INDEX('Nike pace chart'!$BO$9:$BO$16,MATCH('Nike training program_10k'!I27,'Nike pace chart'!$BY$9:$BY$16,0))</f>
        <v>04:37</v>
      </c>
      <c r="K27" s="99">
        <f>INDEX('Nike pace chart'!$BV$9:$BV$16,MATCH('Nike training program_10k'!I27,'Nike pace chart'!$BY$9:$BY$16,0))/1000*2</f>
        <v>0.44</v>
      </c>
      <c r="L27" s="31" t="s">
        <v>228</v>
      </c>
      <c r="M27" s="5"/>
      <c r="N27" s="27"/>
      <c r="O27" s="5"/>
      <c r="P27" s="27"/>
      <c r="Q27" s="31"/>
      <c r="R27" s="5">
        <v>1</v>
      </c>
      <c r="S27" s="48" t="s">
        <v>198</v>
      </c>
      <c r="T27" s="5" t="str">
        <f>INDEX('Nike pace chart'!$BO$9:$BO$16,MATCH('Nike training program_10k'!S27,'Nike pace chart'!$BY$9:$BY$16,0))</f>
        <v>04:46</v>
      </c>
      <c r="U27" s="99">
        <f>INDEX('Nike pace chart'!$BV$9:$BV$16,MATCH('Nike training program_10k'!S27,'Nike pace chart'!$BY$9:$BY$16,0))/1000*5</f>
        <v>1.05</v>
      </c>
      <c r="V27" s="31" t="s">
        <v>227</v>
      </c>
      <c r="W27" s="5"/>
      <c r="X27" s="27"/>
      <c r="Y27" s="5"/>
      <c r="Z27" s="27"/>
      <c r="AA27" s="28"/>
      <c r="AB27" s="105"/>
      <c r="AC27" s="5"/>
      <c r="AD27" s="27"/>
      <c r="AE27" s="5"/>
      <c r="AF27" s="5"/>
      <c r="AG27" s="27"/>
      <c r="AH27" s="6"/>
      <c r="AI27" s="5"/>
      <c r="AJ27" s="27"/>
      <c r="AK27" s="5"/>
      <c r="AL27" s="5"/>
      <c r="AM27" s="99"/>
      <c r="AN27" s="31"/>
      <c r="AO27" s="5"/>
      <c r="AP27" s="27"/>
      <c r="AQ27" s="5"/>
      <c r="AR27" s="5"/>
      <c r="AS27" s="27"/>
      <c r="AT27" s="31"/>
      <c r="AU27" s="5">
        <v>1</v>
      </c>
      <c r="AV27" s="48" t="s">
        <v>198</v>
      </c>
      <c r="AW27" s="5" t="str">
        <f>INDEX('Nike pace chart'!$BO$9:$BO$16,MATCH('Nike training program_10k'!AV27,'Nike pace chart'!$BY$9:$BY$16,0))</f>
        <v>04:46</v>
      </c>
      <c r="AX27" s="81">
        <f t="shared" si="8"/>
        <v>12.587412587412587</v>
      </c>
      <c r="AY27" s="99">
        <v>1</v>
      </c>
      <c r="AZ27" s="31" t="s">
        <v>227</v>
      </c>
      <c r="BA27" s="5"/>
      <c r="BB27" s="27"/>
      <c r="BC27" s="5"/>
      <c r="BD27" s="5"/>
      <c r="BE27" s="27"/>
      <c r="BF27" s="28"/>
    </row>
    <row r="28" spans="2:62" hidden="1" outlineLevel="1" x14ac:dyDescent="0.25">
      <c r="B28" s="37" t="s">
        <v>232</v>
      </c>
      <c r="C28" s="5"/>
      <c r="D28" s="27"/>
      <c r="E28" s="5"/>
      <c r="F28" s="27"/>
      <c r="G28" s="6"/>
      <c r="H28" s="5"/>
      <c r="I28" s="46" t="s">
        <v>201</v>
      </c>
      <c r="J28" s="5" t="str">
        <f>INDEX('Nike pace chart'!$BO$9:$BO$16,MATCH('Nike training program_10k'!I28,'Nike pace chart'!$BY$9:$BY$16,0))</f>
        <v>05:39</v>
      </c>
      <c r="K28" s="99">
        <f>INDEX('Nike pace chart'!$BV$9:$BV$16,MATCH('Nike training program_10k'!I28,'Nike pace chart'!$BY$9:$BY$16,0))/1000*1</f>
        <v>0.18</v>
      </c>
      <c r="L28" s="31" t="s">
        <v>225</v>
      </c>
      <c r="M28" s="5"/>
      <c r="N28" s="27"/>
      <c r="O28" s="5"/>
      <c r="P28" s="27"/>
      <c r="Q28" s="31"/>
      <c r="R28" s="5"/>
      <c r="S28" s="46" t="s">
        <v>201</v>
      </c>
      <c r="T28" s="5" t="str">
        <f>INDEX('Nike pace chart'!$BO$9:$BO$16,MATCH('Nike training program_10k'!S28,'Nike pace chart'!$BY$9:$BY$16,0))</f>
        <v>05:39</v>
      </c>
      <c r="U28" s="99">
        <f>INDEX('Nike pace chart'!$BV$9:$BV$16,MATCH('Nike training program_10k'!S28,'Nike pace chart'!$BY$9:$BY$16,0))/1000*9.5</f>
        <v>1.71</v>
      </c>
      <c r="V28" s="31" t="s">
        <v>237</v>
      </c>
      <c r="W28" s="5"/>
      <c r="X28" s="27"/>
      <c r="Y28" s="5"/>
      <c r="Z28" s="27"/>
      <c r="AA28" s="28"/>
      <c r="AB28" s="105"/>
      <c r="AC28" s="5"/>
      <c r="AD28" s="27"/>
      <c r="AE28" s="5"/>
      <c r="AF28" s="5"/>
      <c r="AG28" s="27"/>
      <c r="AH28" s="6"/>
      <c r="AI28" s="5"/>
      <c r="AJ28" s="27"/>
      <c r="AK28" s="5"/>
      <c r="AL28" s="5"/>
      <c r="AM28" s="99"/>
      <c r="AN28" s="31"/>
      <c r="AO28" s="5"/>
      <c r="AP28" s="27"/>
      <c r="AQ28" s="5"/>
      <c r="AR28" s="5"/>
      <c r="AS28" s="27"/>
      <c r="AT28" s="31"/>
      <c r="AU28" s="5"/>
      <c r="AV28" s="46" t="s">
        <v>201</v>
      </c>
      <c r="AW28" s="5" t="str">
        <f>INDEX('Nike pace chart'!$BO$9:$BO$16,MATCH('Nike training program_10k'!AV28,'Nike pace chart'!$BY$9:$BY$16,0))</f>
        <v>05:39</v>
      </c>
      <c r="AX28" s="81">
        <f t="shared" si="8"/>
        <v>10.619469026548673</v>
      </c>
      <c r="AY28" s="99">
        <v>1.5</v>
      </c>
      <c r="AZ28" s="31" t="s">
        <v>237</v>
      </c>
      <c r="BA28" s="5"/>
      <c r="BB28" s="27"/>
      <c r="BC28" s="5"/>
      <c r="BD28" s="5"/>
      <c r="BE28" s="27"/>
      <c r="BF28" s="28"/>
    </row>
    <row r="29" spans="2:62" hidden="1" outlineLevel="1" x14ac:dyDescent="0.25">
      <c r="B29" s="37" t="s">
        <v>232</v>
      </c>
      <c r="C29" s="5"/>
      <c r="D29" s="27"/>
      <c r="E29" s="5"/>
      <c r="F29" s="27"/>
      <c r="G29" s="6"/>
      <c r="H29" s="5">
        <v>1</v>
      </c>
      <c r="I29" s="49" t="s">
        <v>195</v>
      </c>
      <c r="J29" s="5" t="str">
        <f>INDEX('Nike pace chart'!$BO$9:$BO$16,MATCH('Nike training program_10k'!I29,'Nike pace chart'!$BY$9:$BY$16,0))</f>
        <v>04:37</v>
      </c>
      <c r="K29" s="99">
        <f>INDEX('Nike pace chart'!$BV$9:$BV$16,MATCH('Nike training program_10k'!I29,'Nike pace chart'!$BY$9:$BY$16,0))/1000*2</f>
        <v>0.44</v>
      </c>
      <c r="L29" s="31" t="s">
        <v>228</v>
      </c>
      <c r="M29" s="5"/>
      <c r="N29" s="27"/>
      <c r="O29" s="5"/>
      <c r="P29" s="27"/>
      <c r="Q29" s="31"/>
      <c r="R29" s="5"/>
      <c r="S29" s="27"/>
      <c r="T29" s="5"/>
      <c r="U29" s="27"/>
      <c r="V29" s="31"/>
      <c r="W29" s="5"/>
      <c r="X29" s="27"/>
      <c r="Y29" s="5"/>
      <c r="Z29" s="27"/>
      <c r="AA29" s="28"/>
      <c r="AB29" s="105"/>
      <c r="AC29" s="5"/>
      <c r="AD29" s="27"/>
      <c r="AE29" s="5"/>
      <c r="AF29" s="5"/>
      <c r="AG29" s="27"/>
      <c r="AH29" s="6"/>
      <c r="AI29" s="5"/>
      <c r="AJ29" s="27"/>
      <c r="AK29" s="5"/>
      <c r="AL29" s="5"/>
      <c r="AM29" s="99"/>
      <c r="AN29" s="31"/>
      <c r="AO29" s="5"/>
      <c r="AP29" s="27"/>
      <c r="AQ29" s="5"/>
      <c r="AR29" s="5"/>
      <c r="AS29" s="27"/>
      <c r="AT29" s="31"/>
      <c r="AU29" s="5"/>
      <c r="AV29" s="27"/>
      <c r="AW29" s="5"/>
      <c r="AX29" s="5"/>
      <c r="AY29" s="27"/>
      <c r="AZ29" s="31"/>
      <c r="BA29" s="5"/>
      <c r="BB29" s="27"/>
      <c r="BC29" s="5"/>
      <c r="BD29" s="5"/>
      <c r="BE29" s="27"/>
      <c r="BF29" s="28"/>
    </row>
    <row r="30" spans="2:62" hidden="1" outlineLevel="1" x14ac:dyDescent="0.25">
      <c r="B30" s="37" t="s">
        <v>232</v>
      </c>
      <c r="C30" s="5"/>
      <c r="D30" s="27"/>
      <c r="E30" s="5"/>
      <c r="F30" s="27"/>
      <c r="G30" s="6"/>
      <c r="H30" s="5"/>
      <c r="I30" s="46" t="s">
        <v>201</v>
      </c>
      <c r="J30" s="5" t="str">
        <f>INDEX('Nike pace chart'!$BO$9:$BO$16,MATCH('Nike training program_10k'!I30,'Nike pace chart'!$BY$9:$BY$16,0))</f>
        <v>05:39</v>
      </c>
      <c r="K30" s="99">
        <f>INDEX('Nike pace chart'!$BV$9:$BV$16,MATCH('Nike training program_10k'!I30,'Nike pace chart'!$BY$9:$BY$16,0))/1000*2</f>
        <v>0.36</v>
      </c>
      <c r="L30" s="31" t="s">
        <v>228</v>
      </c>
      <c r="M30" s="5"/>
      <c r="N30" s="27"/>
      <c r="O30" s="5"/>
      <c r="P30" s="27"/>
      <c r="Q30" s="31"/>
      <c r="R30" s="5"/>
      <c r="S30" s="27"/>
      <c r="T30" s="5"/>
      <c r="U30" s="27"/>
      <c r="V30" s="31"/>
      <c r="W30" s="5"/>
      <c r="X30" s="27"/>
      <c r="Y30" s="5"/>
      <c r="Z30" s="27"/>
      <c r="AA30" s="28"/>
      <c r="AB30" s="105"/>
      <c r="AC30" s="5"/>
      <c r="AD30" s="27"/>
      <c r="AE30" s="5"/>
      <c r="AF30" s="5"/>
      <c r="AG30" s="27"/>
      <c r="AH30" s="6"/>
      <c r="AI30" s="5"/>
      <c r="AJ30" s="27"/>
      <c r="AK30" s="5"/>
      <c r="AL30" s="5"/>
      <c r="AM30" s="99"/>
      <c r="AN30" s="31"/>
      <c r="AO30" s="5"/>
      <c r="AP30" s="27"/>
      <c r="AQ30" s="5"/>
      <c r="AR30" s="5"/>
      <c r="AS30" s="27"/>
      <c r="AT30" s="31"/>
      <c r="AU30" s="5"/>
      <c r="AV30" s="27"/>
      <c r="AW30" s="5"/>
      <c r="AX30" s="5"/>
      <c r="AY30" s="27"/>
      <c r="AZ30" s="31"/>
      <c r="BA30" s="5"/>
      <c r="BB30" s="27"/>
      <c r="BC30" s="5"/>
      <c r="BD30" s="5"/>
      <c r="BE30" s="27"/>
      <c r="BF30" s="28"/>
    </row>
    <row r="31" spans="2:62" hidden="1" outlineLevel="1" x14ac:dyDescent="0.25">
      <c r="B31" s="37" t="s">
        <v>232</v>
      </c>
      <c r="C31" s="5"/>
      <c r="D31" s="27"/>
      <c r="E31" s="5"/>
      <c r="F31" s="27"/>
      <c r="G31" s="6"/>
      <c r="H31" s="5">
        <v>2</v>
      </c>
      <c r="I31" s="49" t="s">
        <v>195</v>
      </c>
      <c r="J31" s="5" t="str">
        <f>INDEX('Nike pace chart'!$BO$9:$BO$16,MATCH('Nike training program_10k'!I31,'Nike pace chart'!$BY$9:$BY$16,0))</f>
        <v>04:37</v>
      </c>
      <c r="K31" s="99">
        <f>INDEX('Nike pace chart'!$BV$9:$BV$16,MATCH('Nike training program_10k'!I31,'Nike pace chart'!$BY$9:$BY$16,0))/1000*2</f>
        <v>0.44</v>
      </c>
      <c r="L31" s="31" t="s">
        <v>228</v>
      </c>
      <c r="M31" s="5"/>
      <c r="N31" s="27"/>
      <c r="O31" s="5"/>
      <c r="P31" s="27"/>
      <c r="Q31" s="31"/>
      <c r="R31" s="5"/>
      <c r="S31" s="27"/>
      <c r="T31" s="5"/>
      <c r="U31" s="27"/>
      <c r="V31" s="31"/>
      <c r="W31" s="5"/>
      <c r="X31" s="27"/>
      <c r="Y31" s="5"/>
      <c r="Z31" s="27"/>
      <c r="AA31" s="28"/>
      <c r="AB31" s="105"/>
      <c r="AC31" s="5"/>
      <c r="AD31" s="27"/>
      <c r="AE31" s="5"/>
      <c r="AF31" s="5"/>
      <c r="AG31" s="27"/>
      <c r="AH31" s="6"/>
      <c r="AI31" s="5"/>
      <c r="AJ31" s="27"/>
      <c r="AK31" s="5"/>
      <c r="AL31" s="5"/>
      <c r="AM31" s="99"/>
      <c r="AN31" s="31"/>
      <c r="AO31" s="5"/>
      <c r="AP31" s="27"/>
      <c r="AQ31" s="5"/>
      <c r="AR31" s="5"/>
      <c r="AS31" s="27"/>
      <c r="AT31" s="31"/>
      <c r="AU31" s="5"/>
      <c r="AV31" s="27"/>
      <c r="AW31" s="5"/>
      <c r="AX31" s="5"/>
      <c r="AY31" s="27"/>
      <c r="AZ31" s="31"/>
      <c r="BA31" s="5"/>
      <c r="BB31" s="27"/>
      <c r="BC31" s="5"/>
      <c r="BD31" s="5"/>
      <c r="BE31" s="27"/>
      <c r="BF31" s="28"/>
    </row>
    <row r="32" spans="2:62" s="36" customFormat="1" hidden="1" outlineLevel="1" x14ac:dyDescent="0.25">
      <c r="B32" s="38" t="s">
        <v>232</v>
      </c>
      <c r="C32" s="32"/>
      <c r="D32" s="33"/>
      <c r="E32" s="32"/>
      <c r="F32" s="33"/>
      <c r="G32" s="34"/>
      <c r="H32" s="32"/>
      <c r="I32" s="47" t="s">
        <v>201</v>
      </c>
      <c r="J32" s="32" t="str">
        <f>INDEX('Nike pace chart'!$BO$9:$BO$16,MATCH('Nike training program_10k'!I32,'Nike pace chart'!$BY$9:$BY$16,0))</f>
        <v>05:39</v>
      </c>
      <c r="K32" s="93">
        <f>INDEX('Nike pace chart'!$BV$9:$BV$16,MATCH('Nike training program_10k'!I32,'Nike pace chart'!$BY$9:$BY$16,0))/1000*1</f>
        <v>0.18</v>
      </c>
      <c r="L32" s="35" t="s">
        <v>225</v>
      </c>
      <c r="M32" s="32"/>
      <c r="N32" s="33"/>
      <c r="O32" s="32"/>
      <c r="P32" s="33"/>
      <c r="Q32" s="35"/>
      <c r="R32" s="32"/>
      <c r="S32" s="33"/>
      <c r="T32" s="32"/>
      <c r="U32" s="33"/>
      <c r="V32" s="35"/>
      <c r="W32" s="32"/>
      <c r="X32" s="33"/>
      <c r="Y32" s="32"/>
      <c r="Z32" s="33"/>
      <c r="AA32" s="113"/>
      <c r="AB32" s="114"/>
      <c r="AC32" s="32"/>
      <c r="AD32" s="33"/>
      <c r="AE32" s="32"/>
      <c r="AF32" s="32"/>
      <c r="AG32" s="33"/>
      <c r="AH32" s="34"/>
      <c r="AI32" s="32"/>
      <c r="AJ32" s="33"/>
      <c r="AK32" s="32"/>
      <c r="AL32" s="32"/>
      <c r="AM32" s="93"/>
      <c r="AN32" s="35"/>
      <c r="AO32" s="32"/>
      <c r="AP32" s="33"/>
      <c r="AQ32" s="32"/>
      <c r="AR32" s="32"/>
      <c r="AS32" s="33"/>
      <c r="AT32" s="35"/>
      <c r="AU32" s="32"/>
      <c r="AV32" s="33"/>
      <c r="AW32" s="32"/>
      <c r="AX32" s="32"/>
      <c r="AY32" s="33"/>
      <c r="AZ32" s="35"/>
      <c r="BA32" s="32"/>
      <c r="BB32" s="33"/>
      <c r="BC32" s="32"/>
      <c r="BD32" s="32"/>
      <c r="BE32" s="33"/>
      <c r="BF32" s="113"/>
      <c r="BI32" s="95"/>
    </row>
    <row r="33" spans="2:63" hidden="1" outlineLevel="1" x14ac:dyDescent="0.25">
      <c r="B33" s="11" t="s">
        <v>238</v>
      </c>
      <c r="C33" s="5">
        <v>1</v>
      </c>
      <c r="D33" s="46" t="s">
        <v>201</v>
      </c>
      <c r="E33" s="5" t="str">
        <f>INDEX('Nike pace chart'!$BO$9:$BO$16,MATCH('Nike training program_10k'!D33,'Nike pace chart'!$BY$9:$BY$16,0))</f>
        <v>05:39</v>
      </c>
      <c r="F33" s="99">
        <f>INDEX('Nike pace chart'!$BV$9:$BV$16,MATCH('Nike training program_10k'!D33,'Nike pace chart'!$BY$9:$BY$16,0))/1000*35</f>
        <v>6.3</v>
      </c>
      <c r="G33" s="31" t="s">
        <v>115</v>
      </c>
      <c r="H33" s="5">
        <v>1</v>
      </c>
      <c r="I33" s="51" t="s">
        <v>591</v>
      </c>
      <c r="J33" s="5" t="s">
        <v>223</v>
      </c>
      <c r="K33" s="99" t="s">
        <v>223</v>
      </c>
      <c r="L33" s="31" t="s">
        <v>227</v>
      </c>
      <c r="M33" s="5">
        <v>1</v>
      </c>
      <c r="N33" s="46" t="s">
        <v>201</v>
      </c>
      <c r="O33" s="5" t="str">
        <f>INDEX('Nike pace chart'!$BO$9:$BO$16,MATCH('Nike training program_10k'!N33,'Nike pace chart'!$BY$9:$BY$16,0))</f>
        <v>05:39</v>
      </c>
      <c r="P33" s="99">
        <f>INDEX('Nike pace chart'!$BV$9:$BV$16,MATCH('Nike training program_10k'!N33,'Nike pace chart'!$BY$9:$BY$16,0))/1000*35</f>
        <v>6.3</v>
      </c>
      <c r="Q33" s="31" t="s">
        <v>115</v>
      </c>
      <c r="R33" s="5">
        <v>2</v>
      </c>
      <c r="S33" s="48" t="s">
        <v>198</v>
      </c>
      <c r="T33" s="5" t="str">
        <f>INDEX('Nike pace chart'!$BO$9:$BO$16,MATCH('Nike training program_10k'!S33,'Nike pace chart'!$BY$9:$BY$16,0))</f>
        <v>04:46</v>
      </c>
      <c r="U33" s="99">
        <f>INDEX('Nike pace chart'!$BV$9:$BV$16,MATCH('Nike training program_10k'!S33,'Nike pace chart'!$BY$9:$BY$16,0))/1000*1.5</f>
        <v>0.315</v>
      </c>
      <c r="V33" s="31" t="s">
        <v>236</v>
      </c>
      <c r="W33" s="5">
        <v>1</v>
      </c>
      <c r="X33" s="51" t="s">
        <v>241</v>
      </c>
      <c r="Y33" s="5" t="str">
        <f>INDEX('Nike pace chart'!$BO$9:$BO$16,MATCH('Nike training program_10k'!X33,'Nike pace chart'!$BY$9:$BY$16,0))</f>
        <v>04:25</v>
      </c>
      <c r="Z33" s="27">
        <v>6.5</v>
      </c>
      <c r="AA33" s="28" t="s">
        <v>223</v>
      </c>
      <c r="AB33" s="105"/>
      <c r="AC33" s="5">
        <v>1</v>
      </c>
      <c r="AD33" s="46" t="s">
        <v>201</v>
      </c>
      <c r="AE33" s="84" t="s">
        <v>665</v>
      </c>
      <c r="AF33" s="81">
        <f t="shared" ref="AF33" si="10">3600/(_xlfn.TEXTBEFORE(AE33,":")*60+_xlfn.TEXTAFTER(AE33,":"))</f>
        <v>9.8360655737704921</v>
      </c>
      <c r="AG33" s="27">
        <v>5.6</v>
      </c>
      <c r="AH33" s="31"/>
      <c r="AI33" s="110" t="s">
        <v>591</v>
      </c>
      <c r="AJ33" s="27" t="s">
        <v>255</v>
      </c>
      <c r="AK33" s="5" t="s">
        <v>223</v>
      </c>
      <c r="AL33" s="5"/>
      <c r="AM33" s="99" t="s">
        <v>223</v>
      </c>
      <c r="AN33" s="31" t="s">
        <v>227</v>
      </c>
      <c r="AO33" s="5">
        <v>1</v>
      </c>
      <c r="AP33" s="46" t="s">
        <v>201</v>
      </c>
      <c r="AQ33" s="84" t="s">
        <v>665</v>
      </c>
      <c r="AR33" s="81">
        <f t="shared" ref="AR33" si="11">3600/(_xlfn.TEXTBEFORE(AQ33,":")*60+_xlfn.TEXTAFTER(AQ33,":"))</f>
        <v>9.8360655737704921</v>
      </c>
      <c r="AS33" s="27">
        <v>5.6</v>
      </c>
      <c r="AT33" s="31"/>
      <c r="AU33" s="5">
        <v>2</v>
      </c>
      <c r="AV33" s="48" t="s">
        <v>198</v>
      </c>
      <c r="AW33" s="5" t="str">
        <f>INDEX('Nike pace chart'!$BO$9:$BO$16,MATCH('Nike training program_10k'!AV33,'Nike pace chart'!$BY$9:$BY$16,0))</f>
        <v>04:46</v>
      </c>
      <c r="AX33" s="81">
        <f t="shared" ref="AX33:AX40" si="12">3600/(_xlfn.TEXTBEFORE(AW33,":")*60+_xlfn.TEXTAFTER(AW33,":"))</f>
        <v>12.587412587412587</v>
      </c>
      <c r="AY33" s="99">
        <v>0.3</v>
      </c>
      <c r="AZ33" s="31" t="s">
        <v>236</v>
      </c>
      <c r="BA33" s="5">
        <v>1</v>
      </c>
      <c r="BB33" s="45" t="s">
        <v>241</v>
      </c>
      <c r="BC33" s="84">
        <v>3.5879629629629629E-3</v>
      </c>
      <c r="BD33" s="81">
        <f t="shared" ref="BD33:BD39" si="13">3600/(MINUTE(BC33)*60+SECOND(BC33))</f>
        <v>11.612903225806452</v>
      </c>
      <c r="BE33" s="27">
        <v>1</v>
      </c>
      <c r="BF33" s="28" t="s">
        <v>223</v>
      </c>
    </row>
    <row r="34" spans="2:63" hidden="1" outlineLevel="1" x14ac:dyDescent="0.25">
      <c r="B34" s="37" t="s">
        <v>238</v>
      </c>
      <c r="C34" s="5"/>
      <c r="D34" s="27"/>
      <c r="E34" s="5"/>
      <c r="F34" s="27"/>
      <c r="G34" s="6"/>
      <c r="H34" s="5">
        <v>2</v>
      </c>
      <c r="I34" s="48" t="s">
        <v>198</v>
      </c>
      <c r="J34" s="5" t="str">
        <f>INDEX('Nike pace chart'!$BO$9:$BO$16,MATCH('Nike training program_10k'!I34,'Nike pace chart'!$BY$9:$BY$16,0))</f>
        <v>04:46</v>
      </c>
      <c r="K34" s="99">
        <f>INDEX('Nike pace chart'!$BV$9:$BV$16,MATCH('Nike training program_10k'!I34,'Nike pace chart'!$BY$9:$BY$16,0))/1000*3.5</f>
        <v>0.73499999999999999</v>
      </c>
      <c r="L34" s="31" t="s">
        <v>239</v>
      </c>
      <c r="M34" s="5"/>
      <c r="N34" s="27"/>
      <c r="O34" s="5"/>
      <c r="P34" s="27"/>
      <c r="Q34" s="31"/>
      <c r="R34" s="5"/>
      <c r="S34" s="46" t="s">
        <v>201</v>
      </c>
      <c r="T34" s="5" t="str">
        <f>INDEX('Nike pace chart'!$BO$9:$BO$16,MATCH('Nike training program_10k'!S34,'Nike pace chart'!$BY$9:$BY$16,0))</f>
        <v>05:39</v>
      </c>
      <c r="U34" s="99">
        <f>INDEX('Nike pace chart'!$BV$9:$BV$16,MATCH('Nike training program_10k'!S34,'Nike pace chart'!$BY$9:$BY$16,0))/1000*1.5</f>
        <v>0.27</v>
      </c>
      <c r="V34" s="31" t="s">
        <v>236</v>
      </c>
      <c r="W34" s="5"/>
      <c r="X34" s="27"/>
      <c r="Y34" s="5"/>
      <c r="Z34" s="27"/>
      <c r="AA34" s="28"/>
      <c r="AB34" s="105"/>
      <c r="AC34" s="5"/>
      <c r="AD34" s="27"/>
      <c r="AE34" s="84"/>
      <c r="AF34" s="81"/>
      <c r="AG34" s="27"/>
      <c r="AH34" s="6"/>
      <c r="AI34" s="5">
        <v>2</v>
      </c>
      <c r="AJ34" s="48" t="s">
        <v>198</v>
      </c>
      <c r="AK34" s="5" t="str">
        <f>INDEX('Nike pace chart'!$BO$9:$BO$16,MATCH('Nike training program_10k'!AJ34,'Nike pace chart'!$BY$9:$BY$16,0))</f>
        <v>04:46</v>
      </c>
      <c r="AL34" s="81">
        <f t="shared" ref="AL34:AL40" si="14">3600/(_xlfn.TEXTBEFORE(AK34,":")*60+_xlfn.TEXTAFTER(AK34,":"))</f>
        <v>12.587412587412587</v>
      </c>
      <c r="AM34" s="99">
        <v>0.7</v>
      </c>
      <c r="AN34" s="31" t="s">
        <v>239</v>
      </c>
      <c r="AO34" s="5"/>
      <c r="AP34" s="27"/>
      <c r="AQ34" s="84"/>
      <c r="AR34" s="81"/>
      <c r="AS34" s="27"/>
      <c r="AT34" s="31"/>
      <c r="AU34" s="5"/>
      <c r="AV34" s="46" t="s">
        <v>201</v>
      </c>
      <c r="AW34" s="5" t="str">
        <f>INDEX('Nike pace chart'!$BO$9:$BO$16,MATCH('Nike training program_10k'!AV34,'Nike pace chart'!$BY$9:$BY$16,0))</f>
        <v>05:39</v>
      </c>
      <c r="AX34" s="81">
        <f t="shared" si="12"/>
        <v>10.619469026548673</v>
      </c>
      <c r="AY34" s="99">
        <v>0.25</v>
      </c>
      <c r="AZ34" s="31" t="s">
        <v>236</v>
      </c>
      <c r="BA34" s="5"/>
      <c r="BB34" s="27"/>
      <c r="BC34" s="84">
        <v>3.5879629629629629E-3</v>
      </c>
      <c r="BD34" s="81">
        <f t="shared" si="13"/>
        <v>11.612903225806452</v>
      </c>
      <c r="BE34" s="27">
        <v>1</v>
      </c>
      <c r="BF34" s="28"/>
    </row>
    <row r="35" spans="2:63" hidden="1" outlineLevel="1" x14ac:dyDescent="0.25">
      <c r="B35" s="37" t="s">
        <v>238</v>
      </c>
      <c r="C35" s="5"/>
      <c r="D35" s="27"/>
      <c r="E35" s="5"/>
      <c r="F35" s="27"/>
      <c r="G35" s="6"/>
      <c r="H35" s="5"/>
      <c r="I35" s="46" t="s">
        <v>201</v>
      </c>
      <c r="J35" s="5" t="str">
        <f>INDEX('Nike pace chart'!$BO$9:$BO$16,MATCH('Nike training program_10k'!I35,'Nike pace chart'!$BY$9:$BY$16,0))</f>
        <v>05:39</v>
      </c>
      <c r="K35" s="99">
        <f>INDEX('Nike pace chart'!$BV$9:$BV$16,MATCH('Nike training program_10k'!I35,'Nike pace chart'!$BY$9:$BY$16,0))/1000*1</f>
        <v>0.18</v>
      </c>
      <c r="L35" s="31" t="s">
        <v>225</v>
      </c>
      <c r="M35" s="5"/>
      <c r="N35" s="27"/>
      <c r="O35" s="5"/>
      <c r="P35" s="27"/>
      <c r="Q35" s="31"/>
      <c r="R35" s="5">
        <v>3</v>
      </c>
      <c r="S35" s="49" t="s">
        <v>195</v>
      </c>
      <c r="T35" s="5" t="str">
        <f>INDEX('Nike pace chart'!$BO$9:$BO$16,MATCH('Nike training program_10k'!S35,'Nike pace chart'!$BY$9:$BY$16,0))</f>
        <v>04:37</v>
      </c>
      <c r="U35" s="99">
        <f>INDEX('Nike pace chart'!$BV$9:$BV$16,MATCH('Nike training program_10k'!S35,'Nike pace chart'!$BY$9:$BY$16,0))/1000*1</f>
        <v>0.22</v>
      </c>
      <c r="V35" s="31" t="s">
        <v>225</v>
      </c>
      <c r="W35" s="5"/>
      <c r="X35" s="27"/>
      <c r="Y35" s="5"/>
      <c r="Z35" s="5"/>
      <c r="AA35" s="5"/>
      <c r="AB35" s="106"/>
      <c r="AC35" s="5"/>
      <c r="AD35" s="27"/>
      <c r="AE35" s="84"/>
      <c r="AF35" s="81"/>
      <c r="AG35" s="27"/>
      <c r="AH35" s="6"/>
      <c r="AI35" s="5"/>
      <c r="AJ35" s="46" t="s">
        <v>201</v>
      </c>
      <c r="AK35" s="5" t="str">
        <f>INDEX('Nike pace chart'!$BO$9:$BO$16,MATCH('Nike training program_10k'!AJ35,'Nike pace chart'!$BY$9:$BY$16,0))</f>
        <v>05:39</v>
      </c>
      <c r="AL35" s="81">
        <f t="shared" si="14"/>
        <v>10.619469026548673</v>
      </c>
      <c r="AM35" s="99">
        <v>0.15</v>
      </c>
      <c r="AN35" s="31" t="s">
        <v>225</v>
      </c>
      <c r="AO35" s="5"/>
      <c r="AP35" s="27"/>
      <c r="AQ35" s="84"/>
      <c r="AR35" s="81"/>
      <c r="AS35" s="27"/>
      <c r="AT35" s="31"/>
      <c r="AU35" s="5">
        <v>2</v>
      </c>
      <c r="AV35" s="49" t="s">
        <v>195</v>
      </c>
      <c r="AW35" s="5" t="str">
        <f>INDEX('Nike pace chart'!$BO$9:$BO$16,MATCH('Nike training program_10k'!AV35,'Nike pace chart'!$BY$9:$BY$16,0))</f>
        <v>04:37</v>
      </c>
      <c r="AX35" s="81">
        <f t="shared" si="12"/>
        <v>12.996389891696751</v>
      </c>
      <c r="AY35" s="99">
        <v>0.3</v>
      </c>
      <c r="AZ35" s="31" t="s">
        <v>225</v>
      </c>
      <c r="BA35" s="5"/>
      <c r="BB35" s="27"/>
      <c r="BC35" s="84">
        <v>3.472222222222222E-3</v>
      </c>
      <c r="BD35" s="81">
        <f t="shared" si="13"/>
        <v>12</v>
      </c>
      <c r="BE35" s="27">
        <v>1</v>
      </c>
      <c r="BF35" s="5"/>
      <c r="BG35" s="5"/>
      <c r="BH35" s="5"/>
      <c r="BI35" s="107"/>
      <c r="BJ35" s="5"/>
      <c r="BK35" s="108"/>
    </row>
    <row r="36" spans="2:63" hidden="1" outlineLevel="1" x14ac:dyDescent="0.25">
      <c r="B36" s="37" t="s">
        <v>238</v>
      </c>
      <c r="C36" s="5"/>
      <c r="D36" s="27"/>
      <c r="E36" s="5"/>
      <c r="F36" s="27"/>
      <c r="G36" s="6"/>
      <c r="H36" s="5">
        <v>2</v>
      </c>
      <c r="I36" s="49" t="s">
        <v>195</v>
      </c>
      <c r="J36" s="5" t="str">
        <f>INDEX('Nike pace chart'!$BO$9:$BO$16,MATCH('Nike training program_10k'!I36,'Nike pace chart'!$BY$9:$BY$16,0))</f>
        <v>04:37</v>
      </c>
      <c r="K36" s="99">
        <f>INDEX('Nike pace chart'!$BV$9:$BV$16,MATCH('Nike training program_10k'!I36,'Nike pace chart'!$BY$9:$BY$16,0))/1000*2.5</f>
        <v>0.55000000000000004</v>
      </c>
      <c r="L36" s="31" t="s">
        <v>240</v>
      </c>
      <c r="M36" s="5"/>
      <c r="N36" s="27"/>
      <c r="O36" s="5"/>
      <c r="P36" s="27"/>
      <c r="Q36" s="31"/>
      <c r="R36" s="5"/>
      <c r="S36" s="46" t="s">
        <v>201</v>
      </c>
      <c r="T36" s="5" t="str">
        <f>INDEX('Nike pace chart'!$BO$9:$BO$16,MATCH('Nike training program_10k'!S36,'Nike pace chart'!$BY$9:$BY$16,0))</f>
        <v>05:39</v>
      </c>
      <c r="U36" s="99">
        <f>INDEX('Nike pace chart'!$BV$9:$BV$16,MATCH('Nike training program_10k'!S36,'Nike pace chart'!$BY$9:$BY$16,0))/1000*1</f>
        <v>0.18</v>
      </c>
      <c r="V36" s="31" t="s">
        <v>225</v>
      </c>
      <c r="W36" s="5"/>
      <c r="X36" s="27"/>
      <c r="Y36" s="108"/>
      <c r="Z36" s="108"/>
      <c r="AA36" s="108"/>
      <c r="AB36" s="109"/>
      <c r="AC36" s="5"/>
      <c r="AD36" s="27"/>
      <c r="AE36" s="84"/>
      <c r="AF36" s="81"/>
      <c r="AG36" s="27"/>
      <c r="AH36" s="6"/>
      <c r="AI36" s="5">
        <v>2</v>
      </c>
      <c r="AJ36" s="49" t="s">
        <v>195</v>
      </c>
      <c r="AK36" s="5" t="str">
        <f>INDEX('Nike pace chart'!$BO$9:$BO$16,MATCH('Nike training program_10k'!AJ36,'Nike pace chart'!$BY$9:$BY$16,0))</f>
        <v>04:37</v>
      </c>
      <c r="AL36" s="111">
        <f t="shared" si="14"/>
        <v>12.996389891696751</v>
      </c>
      <c r="AM36" s="99">
        <v>0.5</v>
      </c>
      <c r="AN36" s="31" t="s">
        <v>240</v>
      </c>
      <c r="AO36" s="5"/>
      <c r="AP36" s="27"/>
      <c r="AQ36" s="84"/>
      <c r="AR36" s="81"/>
      <c r="AS36" s="27"/>
      <c r="AT36" s="31"/>
      <c r="AU36" s="5"/>
      <c r="AV36" s="46" t="s">
        <v>201</v>
      </c>
      <c r="AW36" s="5" t="str">
        <f>INDEX('Nike pace chart'!$BO$9:$BO$16,MATCH('Nike training program_10k'!AV36,'Nike pace chart'!$BY$9:$BY$16,0))</f>
        <v>05:39</v>
      </c>
      <c r="AX36" s="81">
        <f t="shared" si="12"/>
        <v>10.619469026548673</v>
      </c>
      <c r="AY36" s="99">
        <v>0.25</v>
      </c>
      <c r="AZ36" s="31" t="s">
        <v>225</v>
      </c>
      <c r="BA36" s="5"/>
      <c r="BB36" s="27"/>
      <c r="BC36" s="108">
        <v>3.472222222222222E-3</v>
      </c>
      <c r="BD36" s="111">
        <f t="shared" si="13"/>
        <v>12</v>
      </c>
      <c r="BE36" s="27">
        <v>1</v>
      </c>
      <c r="BF36" s="108"/>
      <c r="BG36" s="108"/>
      <c r="BH36" s="108"/>
      <c r="BJ36" s="108"/>
    </row>
    <row r="37" spans="2:63" hidden="1" outlineLevel="1" x14ac:dyDescent="0.25">
      <c r="B37" s="37" t="s">
        <v>238</v>
      </c>
      <c r="C37" s="5"/>
      <c r="D37" s="27"/>
      <c r="E37" s="5"/>
      <c r="F37" s="27"/>
      <c r="G37" s="6"/>
      <c r="H37" s="5"/>
      <c r="I37" s="46" t="s">
        <v>201</v>
      </c>
      <c r="J37" s="5" t="str">
        <f>INDEX('Nike pace chart'!$BO$9:$BO$16,MATCH('Nike training program_10k'!I37,'Nike pace chart'!$BY$9:$BY$16,0))</f>
        <v>05:39</v>
      </c>
      <c r="K37" s="99">
        <f>INDEX('Nike pace chart'!$BV$9:$BV$16,MATCH('Nike training program_10k'!I37,'Nike pace chart'!$BY$9:$BY$16,0))/1000*1.5</f>
        <v>0.27</v>
      </c>
      <c r="L37" s="31" t="s">
        <v>236</v>
      </c>
      <c r="M37" s="5"/>
      <c r="N37" s="27"/>
      <c r="O37" s="5"/>
      <c r="P37" s="27"/>
      <c r="Q37" s="31"/>
      <c r="R37" s="5">
        <v>4</v>
      </c>
      <c r="S37" s="45" t="s">
        <v>241</v>
      </c>
      <c r="T37" s="5" t="str">
        <f>INDEX('Nike pace chart'!$BO$9:$BO$16,MATCH('Nike training program_10k'!S37,'Nike pace chart'!$BY$9:$BY$16,0))</f>
        <v>04:25</v>
      </c>
      <c r="U37" s="99">
        <f>INDEX('Nike pace chart'!$BV$9:$BV$16,MATCH('Nike training program_10k'!S37,'Nike pace chart'!$BY$9:$BY$16,0))/1000*0.5</f>
        <v>0.115</v>
      </c>
      <c r="V37" s="31" t="s">
        <v>230</v>
      </c>
      <c r="W37" s="5"/>
      <c r="X37" s="27"/>
      <c r="Y37" s="5"/>
      <c r="Z37" s="27"/>
      <c r="AA37" s="28"/>
      <c r="AB37" s="105"/>
      <c r="AC37" s="5"/>
      <c r="AD37" s="27"/>
      <c r="AE37" s="84"/>
      <c r="AF37" s="81"/>
      <c r="AG37" s="27"/>
      <c r="AH37" s="6"/>
      <c r="AI37" s="5"/>
      <c r="AJ37" s="46" t="s">
        <v>201</v>
      </c>
      <c r="AK37" s="5" t="str">
        <f>INDEX('Nike pace chart'!$BO$9:$BO$16,MATCH('Nike training program_10k'!AJ37,'Nike pace chart'!$BY$9:$BY$16,0))</f>
        <v>05:39</v>
      </c>
      <c r="AL37" s="81">
        <f t="shared" si="14"/>
        <v>10.619469026548673</v>
      </c>
      <c r="AM37" s="99">
        <v>0.25</v>
      </c>
      <c r="AN37" s="31" t="s">
        <v>236</v>
      </c>
      <c r="AO37" s="5"/>
      <c r="AP37" s="27"/>
      <c r="AQ37" s="84"/>
      <c r="AR37" s="81"/>
      <c r="AS37" s="27"/>
      <c r="AT37" s="31"/>
      <c r="AU37" s="5">
        <v>2</v>
      </c>
      <c r="AV37" s="45" t="s">
        <v>241</v>
      </c>
      <c r="AW37" s="5" t="str">
        <f>INDEX('Nike pace chart'!$BO$9:$BO$16,MATCH('Nike training program_10k'!AV37,'Nike pace chart'!$BY$9:$BY$16,0))</f>
        <v>04:25</v>
      </c>
      <c r="AX37" s="81">
        <f t="shared" si="12"/>
        <v>13.584905660377359</v>
      </c>
      <c r="AY37" s="99">
        <v>0.25</v>
      </c>
      <c r="AZ37" s="31" t="s">
        <v>230</v>
      </c>
      <c r="BA37" s="5"/>
      <c r="BB37" s="27"/>
      <c r="BC37" s="84">
        <v>3.472222222222222E-3</v>
      </c>
      <c r="BD37" s="81">
        <f t="shared" si="13"/>
        <v>12</v>
      </c>
      <c r="BE37" s="27">
        <v>1</v>
      </c>
      <c r="BF37" s="28"/>
    </row>
    <row r="38" spans="2:63" hidden="1" outlineLevel="1" x14ac:dyDescent="0.25">
      <c r="B38" s="37" t="s">
        <v>238</v>
      </c>
      <c r="C38" s="5"/>
      <c r="D38" s="27"/>
      <c r="E38" s="5"/>
      <c r="F38" s="27"/>
      <c r="G38" s="6"/>
      <c r="H38" s="5">
        <v>2</v>
      </c>
      <c r="I38" s="45" t="s">
        <v>241</v>
      </c>
      <c r="J38" s="5" t="str">
        <f>INDEX('Nike pace chart'!$BO$9:$BO$16,MATCH('Nike training program_10k'!I38,'Nike pace chart'!$BY$9:$BY$16,0))</f>
        <v>04:25</v>
      </c>
      <c r="K38" s="99">
        <f>INDEX('Nike pace chart'!$BV$9:$BV$16,MATCH('Nike training program_10k'!I38,'Nike pace chart'!$BY$9:$BY$16,0))/1000*1.5</f>
        <v>0.34500000000000003</v>
      </c>
      <c r="L38" s="31" t="s">
        <v>236</v>
      </c>
      <c r="M38" s="5"/>
      <c r="N38" s="27"/>
      <c r="O38" s="5"/>
      <c r="P38" s="27"/>
      <c r="Q38" s="31"/>
      <c r="R38" s="5"/>
      <c r="S38" s="46" t="s">
        <v>201</v>
      </c>
      <c r="T38" s="5" t="str">
        <f>INDEX('Nike pace chart'!$BO$9:$BO$16,MATCH('Nike training program_10k'!S38,'Nike pace chart'!$BY$9:$BY$16,0))</f>
        <v>05:39</v>
      </c>
      <c r="U38" s="99">
        <f>INDEX('Nike pace chart'!$BV$9:$BV$16,MATCH('Nike training program_10k'!S38,'Nike pace chart'!$BY$9:$BY$16,0))/1000*0.5</f>
        <v>0.09</v>
      </c>
      <c r="V38" s="31" t="s">
        <v>230</v>
      </c>
      <c r="W38" s="5"/>
      <c r="X38" s="27"/>
      <c r="Y38" s="5"/>
      <c r="Z38" s="27"/>
      <c r="AA38" s="28"/>
      <c r="AB38" s="105"/>
      <c r="AC38" s="5"/>
      <c r="AD38" s="27"/>
      <c r="AE38" s="5"/>
      <c r="AF38" s="5"/>
      <c r="AG38" s="27"/>
      <c r="AH38" s="6"/>
      <c r="AI38" s="5">
        <v>2</v>
      </c>
      <c r="AJ38" s="45" t="s">
        <v>241</v>
      </c>
      <c r="AK38" s="5" t="str">
        <f>INDEX('Nike pace chart'!$BO$9:$BO$16,MATCH('Nike training program_10k'!AJ38,'Nike pace chart'!$BY$9:$BY$16,0))</f>
        <v>04:25</v>
      </c>
      <c r="AL38" s="81">
        <f t="shared" si="14"/>
        <v>13.584905660377359</v>
      </c>
      <c r="AM38" s="99">
        <v>0.35</v>
      </c>
      <c r="AN38" s="31" t="s">
        <v>236</v>
      </c>
      <c r="AO38" s="5"/>
      <c r="AP38" s="27"/>
      <c r="AQ38" s="5"/>
      <c r="AR38" s="5"/>
      <c r="AS38" s="27"/>
      <c r="AT38" s="31"/>
      <c r="AU38" s="5"/>
      <c r="AV38" s="46" t="s">
        <v>201</v>
      </c>
      <c r="AW38" s="5" t="str">
        <f>INDEX('Nike pace chart'!$BO$9:$BO$16,MATCH('Nike training program_10k'!AV38,'Nike pace chart'!$BY$9:$BY$16,0))</f>
        <v>05:39</v>
      </c>
      <c r="AX38" s="81">
        <f t="shared" si="12"/>
        <v>10.619469026548673</v>
      </c>
      <c r="AY38" s="99">
        <v>0.15</v>
      </c>
      <c r="AZ38" s="31" t="s">
        <v>230</v>
      </c>
      <c r="BA38" s="5"/>
      <c r="BB38" s="27"/>
      <c r="BC38" s="84">
        <v>3.3564814814814816E-3</v>
      </c>
      <c r="BD38" s="81">
        <f t="shared" si="13"/>
        <v>12.413793103448276</v>
      </c>
      <c r="BE38" s="27">
        <v>1</v>
      </c>
      <c r="BF38" s="28"/>
    </row>
    <row r="39" spans="2:63" hidden="1" outlineLevel="1" x14ac:dyDescent="0.25">
      <c r="B39" s="37" t="s">
        <v>238</v>
      </c>
      <c r="C39" s="5"/>
      <c r="D39" s="27"/>
      <c r="E39" s="5"/>
      <c r="F39" s="27"/>
      <c r="G39" s="6"/>
      <c r="H39" s="5"/>
      <c r="I39" s="46" t="s">
        <v>201</v>
      </c>
      <c r="J39" s="5" t="str">
        <f>INDEX('Nike pace chart'!$BO$9:$BO$16,MATCH('Nike training program_10k'!I39,'Nike pace chart'!$BY$9:$BY$16,0))</f>
        <v>05:39</v>
      </c>
      <c r="K39" s="99">
        <f>INDEX('Nike pace chart'!$BV$9:$BV$16,MATCH('Nike training program_10k'!I39,'Nike pace chart'!$BY$9:$BY$16,0))/1000*2</f>
        <v>0.36</v>
      </c>
      <c r="L39" s="31" t="s">
        <v>228</v>
      </c>
      <c r="M39" s="5"/>
      <c r="N39" s="27"/>
      <c r="O39" s="5"/>
      <c r="P39" s="27"/>
      <c r="Q39" s="31"/>
      <c r="R39" s="5">
        <v>5</v>
      </c>
      <c r="S39" s="51" t="s">
        <v>203</v>
      </c>
      <c r="T39" s="5" t="str">
        <f>INDEX('Nike pace chart'!$BO$9:$BO$16,MATCH('Nike training program_10k'!S39,'Nike pace chart'!$BY$9:$BY$16,0))</f>
        <v>04:13</v>
      </c>
      <c r="U39" s="99">
        <f>INDEX('Nike pace chart'!$BV$9:$BV$16,MATCH('Nike training program_10k'!S39,'Nike pace chart'!$BY$9:$BY$16,0))/1000*0.25</f>
        <v>0.06</v>
      </c>
      <c r="V39" s="31" t="s">
        <v>231</v>
      </c>
      <c r="W39" s="5"/>
      <c r="X39" s="27"/>
      <c r="Y39" s="5"/>
      <c r="Z39" s="27"/>
      <c r="AA39" s="28"/>
      <c r="AB39" s="105"/>
      <c r="AC39" s="5"/>
      <c r="AD39" s="27"/>
      <c r="AE39" s="5"/>
      <c r="AF39" s="5"/>
      <c r="AG39" s="27"/>
      <c r="AH39" s="6"/>
      <c r="AI39" s="5"/>
      <c r="AJ39" s="46" t="s">
        <v>201</v>
      </c>
      <c r="AK39" s="5" t="str">
        <f>INDEX('Nike pace chart'!$BO$9:$BO$16,MATCH('Nike training program_10k'!AJ39,'Nike pace chart'!$BY$9:$BY$16,0))</f>
        <v>05:39</v>
      </c>
      <c r="AL39" s="81">
        <f t="shared" si="14"/>
        <v>10.619469026548673</v>
      </c>
      <c r="AM39" s="99">
        <v>0.35</v>
      </c>
      <c r="AN39" s="31" t="s">
        <v>228</v>
      </c>
      <c r="AO39" s="5"/>
      <c r="AP39" s="27"/>
      <c r="AQ39" s="5"/>
      <c r="AR39" s="5"/>
      <c r="AS39" s="27"/>
      <c r="AT39" s="31"/>
      <c r="AU39" s="5">
        <v>2</v>
      </c>
      <c r="AV39" s="51" t="s">
        <v>203</v>
      </c>
      <c r="AW39" s="5" t="str">
        <f>INDEX('Nike pace chart'!$BO$9:$BO$16,MATCH('Nike training program_10k'!AV39,'Nike pace chart'!$BY$9:$BY$16,0))</f>
        <v>04:13</v>
      </c>
      <c r="AX39" s="81">
        <f t="shared" si="12"/>
        <v>14.229249011857707</v>
      </c>
      <c r="AY39" s="99">
        <v>0.15</v>
      </c>
      <c r="AZ39" s="31" t="s">
        <v>231</v>
      </c>
      <c r="BA39" s="5"/>
      <c r="BB39" s="27"/>
      <c r="BC39" s="84">
        <v>3.3564814814814816E-3</v>
      </c>
      <c r="BD39" s="81">
        <f t="shared" si="13"/>
        <v>12.413793103448276</v>
      </c>
      <c r="BE39" s="27">
        <v>0.5</v>
      </c>
      <c r="BF39" s="28"/>
    </row>
    <row r="40" spans="2:63" s="36" customFormat="1" hidden="1" outlineLevel="1" x14ac:dyDescent="0.25">
      <c r="B40" s="38" t="s">
        <v>238</v>
      </c>
      <c r="C40" s="32"/>
      <c r="D40" s="33"/>
      <c r="E40" s="32"/>
      <c r="F40" s="33"/>
      <c r="G40" s="34"/>
      <c r="H40" s="32">
        <v>1</v>
      </c>
      <c r="I40" s="50" t="s">
        <v>203</v>
      </c>
      <c r="J40" s="32" t="str">
        <f>INDEX('Nike pace chart'!$BO$9:$BO$16,MATCH('Nike training program_10k'!I40,'Nike pace chart'!$BY$9:$BY$16,0))</f>
        <v>04:13</v>
      </c>
      <c r="K40" s="93">
        <f>INDEX('Nike pace chart'!$BV$9:$BV$16,MATCH('Nike training program_10k'!I40,'Nike pace chart'!$BY$9:$BY$16,0))/1000*0.5</f>
        <v>0.12</v>
      </c>
      <c r="L40" s="35" t="s">
        <v>230</v>
      </c>
      <c r="M40" s="32"/>
      <c r="N40" s="33"/>
      <c r="O40" s="32"/>
      <c r="P40" s="33"/>
      <c r="Q40" s="35"/>
      <c r="R40" s="32"/>
      <c r="S40" s="47" t="s">
        <v>201</v>
      </c>
      <c r="T40" s="32" t="str">
        <f>INDEX('Nike pace chart'!$BO$9:$BO$16,MATCH('Nike training program_10k'!S40,'Nike pace chart'!$BY$9:$BY$16,0))</f>
        <v>05:39</v>
      </c>
      <c r="U40" s="93">
        <f>INDEX('Nike pace chart'!$BV$9:$BV$16,MATCH('Nike training program_10k'!S40,'Nike pace chart'!$BY$9:$BY$16,0))/1000*0.25</f>
        <v>4.4999999999999998E-2</v>
      </c>
      <c r="V40" s="35" t="s">
        <v>231</v>
      </c>
      <c r="W40" s="32"/>
      <c r="X40" s="33"/>
      <c r="Y40" s="32"/>
      <c r="Z40" s="33"/>
      <c r="AA40" s="113"/>
      <c r="AB40" s="114"/>
      <c r="AC40" s="32"/>
      <c r="AD40" s="33"/>
      <c r="AE40" s="32"/>
      <c r="AF40" s="32"/>
      <c r="AG40" s="33"/>
      <c r="AH40" s="34"/>
      <c r="AI40" s="32">
        <v>1</v>
      </c>
      <c r="AJ40" s="50" t="s">
        <v>203</v>
      </c>
      <c r="AK40" s="32" t="str">
        <f>INDEX('Nike pace chart'!$BO$9:$BO$16,MATCH('Nike training program_10k'!AJ40,'Nike pace chart'!$BY$9:$BY$16,0))</f>
        <v>04:13</v>
      </c>
      <c r="AL40" s="101">
        <f t="shared" si="14"/>
        <v>14.229249011857707</v>
      </c>
      <c r="AM40" s="93">
        <v>0.1</v>
      </c>
      <c r="AN40" s="35" t="s">
        <v>230</v>
      </c>
      <c r="AO40" s="32"/>
      <c r="AP40" s="33"/>
      <c r="AQ40" s="32"/>
      <c r="AR40" s="32"/>
      <c r="AS40" s="33"/>
      <c r="AT40" s="35"/>
      <c r="AU40" s="32"/>
      <c r="AV40" s="47" t="s">
        <v>201</v>
      </c>
      <c r="AW40" s="32" t="str">
        <f>INDEX('Nike pace chart'!$BO$9:$BO$16,MATCH('Nike training program_10k'!AV40,'Nike pace chart'!$BY$9:$BY$16,0))</f>
        <v>05:39</v>
      </c>
      <c r="AX40" s="101">
        <f t="shared" si="12"/>
        <v>10.619469026548673</v>
      </c>
      <c r="AY40" s="93">
        <v>0.1</v>
      </c>
      <c r="AZ40" s="35" t="s">
        <v>231</v>
      </c>
      <c r="BA40" s="32"/>
      <c r="BB40" s="33"/>
      <c r="BC40" s="32"/>
      <c r="BD40" s="32"/>
      <c r="BE40" s="33"/>
      <c r="BF40" s="113"/>
      <c r="BI40" s="95"/>
    </row>
    <row r="41" spans="2:63" hidden="1" outlineLevel="1" x14ac:dyDescent="0.25">
      <c r="B41" s="11" t="s">
        <v>242</v>
      </c>
      <c r="C41" s="5">
        <v>1</v>
      </c>
      <c r="D41" s="46" t="s">
        <v>201</v>
      </c>
      <c r="E41" s="5" t="str">
        <f>INDEX('Nike pace chart'!$BO$9:$BO$16,MATCH('Nike training program_10k'!D41,'Nike pace chart'!$BY$9:$BY$16,0))</f>
        <v>05:39</v>
      </c>
      <c r="F41" s="99">
        <f>INDEX('Nike pace chart'!$BV$9:$BV$16,MATCH('Nike training program_10k'!D41,'Nike pace chart'!$BY$9:$BY$16,0))/1000*40</f>
        <v>7.1999999999999993</v>
      </c>
      <c r="G41" s="31" t="s">
        <v>243</v>
      </c>
      <c r="H41" s="5">
        <v>1</v>
      </c>
      <c r="I41" s="27" t="s">
        <v>255</v>
      </c>
      <c r="J41" s="5" t="s">
        <v>223</v>
      </c>
      <c r="K41" s="27" t="s">
        <v>223</v>
      </c>
      <c r="L41" s="31" t="s">
        <v>244</v>
      </c>
      <c r="M41" s="5">
        <v>1</v>
      </c>
      <c r="N41" s="46" t="s">
        <v>201</v>
      </c>
      <c r="O41" s="5" t="str">
        <f>INDEX('Nike pace chart'!$BO$9:$BO$16,MATCH('Nike training program_10k'!N41,'Nike pace chart'!$BY$9:$BY$16,0))</f>
        <v>05:39</v>
      </c>
      <c r="P41" s="99">
        <f>INDEX('Nike pace chart'!$BV$9:$BV$16,MATCH('Nike training program_10k'!N41,'Nike pace chart'!$BY$9:$BY$16,0))/1000*35</f>
        <v>6.3</v>
      </c>
      <c r="Q41" s="31" t="s">
        <v>115</v>
      </c>
      <c r="R41" s="5">
        <v>1</v>
      </c>
      <c r="S41" s="27" t="s">
        <v>255</v>
      </c>
      <c r="T41" s="5" t="s">
        <v>223</v>
      </c>
      <c r="U41" s="99" t="s">
        <v>223</v>
      </c>
      <c r="V41" s="31" t="s">
        <v>244</v>
      </c>
      <c r="W41" s="5">
        <v>1</v>
      </c>
      <c r="X41" s="51" t="s">
        <v>241</v>
      </c>
      <c r="Y41" s="5" t="str">
        <f>INDEX('Nike pace chart'!$BO$9:$BO$16,MATCH('Nike training program_10k'!X41,'Nike pace chart'!$BY$9:$BY$16,0))</f>
        <v>04:25</v>
      </c>
      <c r="Z41" s="27">
        <v>8</v>
      </c>
      <c r="AA41" s="28" t="s">
        <v>223</v>
      </c>
      <c r="AB41" s="105"/>
      <c r="AC41" s="5">
        <v>1</v>
      </c>
      <c r="AD41" s="46" t="s">
        <v>201</v>
      </c>
      <c r="AE41" s="84" t="s">
        <v>665</v>
      </c>
      <c r="AF41" s="81">
        <f t="shared" ref="AF41" si="15">3600/(_xlfn.TEXTBEFORE(AE41,":")*60+_xlfn.TEXTAFTER(AE41,":"))</f>
        <v>9.8360655737704921</v>
      </c>
      <c r="AG41" s="27">
        <v>6.4</v>
      </c>
      <c r="AH41" s="31"/>
      <c r="AI41" s="5">
        <v>1</v>
      </c>
      <c r="AJ41" s="27" t="s">
        <v>255</v>
      </c>
      <c r="AK41" s="5" t="s">
        <v>223</v>
      </c>
      <c r="AL41" s="5"/>
      <c r="AM41" s="27" t="s">
        <v>223</v>
      </c>
      <c r="AN41" s="31" t="s">
        <v>244</v>
      </c>
      <c r="AO41" s="5">
        <v>1</v>
      </c>
      <c r="AP41" s="46" t="s">
        <v>201</v>
      </c>
      <c r="AQ41" s="84" t="s">
        <v>665</v>
      </c>
      <c r="AR41" s="81">
        <f t="shared" ref="AR41" si="16">3600/(_xlfn.TEXTBEFORE(AQ41,":")*60+_xlfn.TEXTAFTER(AQ41,":"))</f>
        <v>9.8360655737704921</v>
      </c>
      <c r="AS41" s="27">
        <v>5.6</v>
      </c>
      <c r="AT41" s="31"/>
      <c r="AU41" s="5">
        <v>1</v>
      </c>
      <c r="AV41" s="27" t="s">
        <v>255</v>
      </c>
      <c r="AW41" s="5" t="s">
        <v>223</v>
      </c>
      <c r="AX41" s="5"/>
      <c r="AY41" s="99">
        <v>5.4</v>
      </c>
      <c r="AZ41" s="31" t="s">
        <v>244</v>
      </c>
      <c r="BA41" s="5">
        <v>1</v>
      </c>
      <c r="BB41" s="45" t="s">
        <v>241</v>
      </c>
      <c r="BC41" s="84">
        <v>3.8194444444444443E-3</v>
      </c>
      <c r="BD41" s="81">
        <f t="shared" ref="BD41:BD80" si="17">3600/(MINUTE(BC41)*60+SECOND(BC41))</f>
        <v>10.909090909090908</v>
      </c>
      <c r="BE41" s="27">
        <v>1</v>
      </c>
      <c r="BF41" s="28" t="s">
        <v>223</v>
      </c>
    </row>
    <row r="42" spans="2:63" hidden="1" outlineLevel="1" x14ac:dyDescent="0.25">
      <c r="B42" s="37" t="s">
        <v>242</v>
      </c>
      <c r="C42" s="5"/>
      <c r="D42" s="27"/>
      <c r="E42" s="5"/>
      <c r="F42" s="27"/>
      <c r="G42" s="6"/>
      <c r="H42" s="5">
        <v>1</v>
      </c>
      <c r="I42" s="52" t="s">
        <v>202</v>
      </c>
      <c r="J42" s="5" t="str">
        <f>INDEX('Nike pace chart'!$BO$9:$BO$16,MATCH('Nike training program_10k'!I42,'Nike pace chart'!$BY$9:$BY$16,0))</f>
        <v>04:59</v>
      </c>
      <c r="K42" s="99">
        <f>INDEX('Nike pace chart'!$BV$9:$BV$16,MATCH('Nike training program_10k'!I42,'Nike pace chart'!$BY$9:$BY$16,0))/1000*25</f>
        <v>5</v>
      </c>
      <c r="L42" s="31" t="s">
        <v>226</v>
      </c>
      <c r="M42" s="5"/>
      <c r="N42" s="27"/>
      <c r="O42" s="5"/>
      <c r="P42" s="27"/>
      <c r="Q42" s="31"/>
      <c r="R42" s="5">
        <v>3</v>
      </c>
      <c r="S42" s="49" t="s">
        <v>195</v>
      </c>
      <c r="T42" s="5" t="str">
        <f>INDEX('Nike pace chart'!$BO$9:$BO$16,MATCH('Nike training program_10k'!S42,'Nike pace chart'!$BY$9:$BY$16,0))</f>
        <v>04:37</v>
      </c>
      <c r="U42" s="99">
        <f>INDEX('Nike pace chart'!$BV$9:$BV$16,MATCH('Nike training program_10k'!S42,'Nike pace chart'!$BY$9:$BY$16,0))/1000*2</f>
        <v>0.44</v>
      </c>
      <c r="V42" s="31" t="s">
        <v>228</v>
      </c>
      <c r="W42" s="5"/>
      <c r="X42" s="27"/>
      <c r="AC42" s="5"/>
      <c r="AD42" s="27"/>
      <c r="AE42" s="84"/>
      <c r="AF42" s="111"/>
      <c r="AG42" s="27"/>
      <c r="AH42" s="6"/>
      <c r="AI42" s="5">
        <v>1</v>
      </c>
      <c r="AJ42" s="52" t="s">
        <v>202</v>
      </c>
      <c r="AK42" s="84">
        <v>3.8194444444444443E-3</v>
      </c>
      <c r="AL42" s="111">
        <f>3600/(MINUTE(AK42)*60+SECOND(AK42))</f>
        <v>10.909090909090908</v>
      </c>
      <c r="AM42" s="27">
        <v>1</v>
      </c>
      <c r="AN42" s="31"/>
      <c r="AO42" s="5"/>
      <c r="AP42" s="27"/>
      <c r="AQ42" s="84"/>
      <c r="AS42" s="27"/>
      <c r="AT42" s="31"/>
      <c r="AU42" s="5">
        <v>3</v>
      </c>
      <c r="AV42" s="49" t="s">
        <v>195</v>
      </c>
      <c r="AW42" s="5" t="str">
        <f>INDEX('Nike pace chart'!$BO$9:$BO$16,MATCH('Nike training program_10k'!AV42,'Nike pace chart'!$BY$9:$BY$16,0))</f>
        <v>04:37</v>
      </c>
      <c r="AX42" s="81">
        <f>3600/(_xlfn.TEXTBEFORE(AW42,":")*60+_xlfn.TEXTAFTER(AW42,":"))</f>
        <v>12.996389891696751</v>
      </c>
      <c r="AY42" s="99">
        <v>0.4</v>
      </c>
      <c r="AZ42" s="31" t="s">
        <v>228</v>
      </c>
      <c r="BA42" s="5"/>
      <c r="BB42" s="27"/>
      <c r="BC42" s="108">
        <v>3.7037037037037038E-3</v>
      </c>
      <c r="BD42" s="111">
        <f t="shared" si="17"/>
        <v>11.25</v>
      </c>
      <c r="BE42" s="27">
        <v>1</v>
      </c>
    </row>
    <row r="43" spans="2:63" hidden="1" outlineLevel="1" x14ac:dyDescent="0.25">
      <c r="B43" s="37" t="s">
        <v>242</v>
      </c>
      <c r="C43" s="5"/>
      <c r="D43" s="27"/>
      <c r="E43" s="5"/>
      <c r="F43" s="27"/>
      <c r="G43" s="6"/>
      <c r="H43" s="5"/>
      <c r="I43" s="27"/>
      <c r="J43" s="5"/>
      <c r="K43" s="27"/>
      <c r="L43" s="31"/>
      <c r="M43" s="5"/>
      <c r="N43" s="27"/>
      <c r="O43" s="5"/>
      <c r="P43" s="27"/>
      <c r="Q43" s="31"/>
      <c r="R43" s="5"/>
      <c r="S43" s="46" t="s">
        <v>201</v>
      </c>
      <c r="T43" s="5" t="str">
        <f>INDEX('Nike pace chart'!$BO$9:$BO$16,MATCH('Nike training program_10k'!S43,'Nike pace chart'!$BY$9:$BY$16,0))</f>
        <v>05:39</v>
      </c>
      <c r="U43" s="99">
        <f>INDEX('Nike pace chart'!$BV$9:$BV$16,MATCH('Nike training program_10k'!S43,'Nike pace chart'!$BY$9:$BY$16,0))/1000*1</f>
        <v>0.18</v>
      </c>
      <c r="V43" s="31" t="s">
        <v>225</v>
      </c>
      <c r="W43" s="5"/>
      <c r="X43" s="27"/>
      <c r="Y43" s="5"/>
      <c r="Z43" s="82"/>
      <c r="AA43" s="28"/>
      <c r="AB43" s="105"/>
      <c r="AC43" s="5"/>
      <c r="AD43" s="27"/>
      <c r="AE43" s="84"/>
      <c r="AF43" s="111"/>
      <c r="AG43" s="27"/>
      <c r="AH43" s="6"/>
      <c r="AI43" s="5"/>
      <c r="AJ43" s="27"/>
      <c r="AK43" s="84">
        <v>3.8194444444444443E-3</v>
      </c>
      <c r="AL43" s="111">
        <f t="shared" ref="AL43:AL46" si="18">3600/(MINUTE(AK43)*60+SECOND(AK43))</f>
        <v>10.909090909090908</v>
      </c>
      <c r="AM43" s="27">
        <v>1</v>
      </c>
      <c r="AN43" s="31"/>
      <c r="AO43" s="5"/>
      <c r="AP43" s="27"/>
      <c r="AQ43" s="84"/>
      <c r="AR43" s="5"/>
      <c r="AS43" s="27"/>
      <c r="AT43" s="31"/>
      <c r="AU43" s="5"/>
      <c r="AV43" s="46" t="s">
        <v>201</v>
      </c>
      <c r="AW43" s="5" t="str">
        <f>INDEX('Nike pace chart'!$BO$9:$BO$16,MATCH('Nike training program_10k'!AV43,'Nike pace chart'!$BY$9:$BY$16,0))</f>
        <v>05:39</v>
      </c>
      <c r="AX43" s="81">
        <f t="shared" ref="AX43:AX47" si="19">3600/(_xlfn.TEXTBEFORE(AW43,":")*60+_xlfn.TEXTAFTER(AW43,":"))</f>
        <v>10.619469026548673</v>
      </c>
      <c r="AY43" s="99">
        <v>0.15</v>
      </c>
      <c r="AZ43" s="31" t="s">
        <v>225</v>
      </c>
      <c r="BA43" s="5"/>
      <c r="BB43" s="27"/>
      <c r="BC43" s="84">
        <v>3.7037037037037038E-3</v>
      </c>
      <c r="BD43" s="81">
        <f t="shared" si="17"/>
        <v>11.25</v>
      </c>
      <c r="BE43" s="27">
        <v>1</v>
      </c>
      <c r="BF43" s="28"/>
    </row>
    <row r="44" spans="2:63" hidden="1" outlineLevel="1" x14ac:dyDescent="0.25">
      <c r="B44" s="37" t="s">
        <v>242</v>
      </c>
      <c r="C44" s="5"/>
      <c r="D44" s="27"/>
      <c r="E44" s="5"/>
      <c r="F44" s="27"/>
      <c r="G44" s="6"/>
      <c r="H44" s="5"/>
      <c r="I44" s="27"/>
      <c r="J44" s="5"/>
      <c r="K44" s="27"/>
      <c r="L44" s="31"/>
      <c r="M44" s="5"/>
      <c r="N44" s="27"/>
      <c r="O44" s="5"/>
      <c r="P44" s="27"/>
      <c r="Q44" s="31"/>
      <c r="R44" s="5">
        <v>1</v>
      </c>
      <c r="S44" s="52" t="s">
        <v>202</v>
      </c>
      <c r="T44" s="5" t="str">
        <f>INDEX('Nike pace chart'!$BO$9:$BO$16,MATCH('Nike training program_10k'!S44,'Nike pace chart'!$BY$9:$BY$16,0))</f>
        <v>04:59</v>
      </c>
      <c r="U44" s="99">
        <f>INDEX('Nike pace chart'!$BV$9:$BV$16,MATCH('Nike training program_10k'!S44,'Nike pace chart'!$BY$9:$BY$16,0))/1000*10</f>
        <v>2</v>
      </c>
      <c r="V44" s="31" t="s">
        <v>71</v>
      </c>
      <c r="W44" s="5"/>
      <c r="X44" s="27"/>
      <c r="Y44" s="5"/>
      <c r="Z44" s="5"/>
      <c r="AA44" s="5"/>
      <c r="AB44" s="106"/>
      <c r="AC44" s="5"/>
      <c r="AD44" s="27"/>
      <c r="AE44" s="84"/>
      <c r="AF44" s="111"/>
      <c r="AG44" s="27"/>
      <c r="AH44" s="6"/>
      <c r="AI44" s="5"/>
      <c r="AJ44" s="27"/>
      <c r="AK44" s="84">
        <v>3.7037037037037038E-3</v>
      </c>
      <c r="AL44" s="111">
        <f t="shared" si="18"/>
        <v>11.25</v>
      </c>
      <c r="AM44" s="27">
        <v>1</v>
      </c>
      <c r="AN44" s="31"/>
      <c r="AO44" s="5"/>
      <c r="AP44" s="27"/>
      <c r="AQ44" s="84"/>
      <c r="AR44" s="5"/>
      <c r="AS44" s="27"/>
      <c r="AT44" s="31"/>
      <c r="AU44" s="5">
        <v>1</v>
      </c>
      <c r="AV44" s="52" t="s">
        <v>202</v>
      </c>
      <c r="AW44" s="5" t="str">
        <f>INDEX('Nike pace chart'!$BO$9:$BO$16,MATCH('Nike training program_10k'!AV44,'Nike pace chart'!$BY$9:$BY$16,0))</f>
        <v>04:59</v>
      </c>
      <c r="AX44" s="81">
        <f t="shared" si="19"/>
        <v>12.040133779264215</v>
      </c>
      <c r="AY44" s="99">
        <f>INDEX('Nike pace chart'!$BV$9:$BV$16,MATCH('Nike training program_10k'!AV44,'Nike pace chart'!$BY$9:$BY$16,0))/1000*10</f>
        <v>2</v>
      </c>
      <c r="AZ44" s="31" t="s">
        <v>71</v>
      </c>
      <c r="BA44" s="5"/>
      <c r="BB44" s="27"/>
      <c r="BC44" s="84">
        <v>3.5879629629629629E-3</v>
      </c>
      <c r="BD44" s="81">
        <f t="shared" si="17"/>
        <v>11.612903225806452</v>
      </c>
      <c r="BE44" s="27">
        <v>1</v>
      </c>
      <c r="BF44" s="5"/>
      <c r="BG44" s="5"/>
      <c r="BH44" s="5"/>
      <c r="BI44" s="107"/>
      <c r="BJ44" s="5"/>
      <c r="BK44" s="108"/>
    </row>
    <row r="45" spans="2:63" hidden="1" outlineLevel="1" x14ac:dyDescent="0.25">
      <c r="B45" s="37" t="s">
        <v>242</v>
      </c>
      <c r="C45" s="5"/>
      <c r="D45" s="27"/>
      <c r="E45" s="5"/>
      <c r="F45" s="27"/>
      <c r="G45" s="6"/>
      <c r="H45" s="5"/>
      <c r="I45" s="27"/>
      <c r="J45" s="5"/>
      <c r="K45" s="27"/>
      <c r="L45" s="31"/>
      <c r="M45" s="5"/>
      <c r="N45" s="27"/>
      <c r="O45" s="5"/>
      <c r="P45" s="27"/>
      <c r="Q45" s="31"/>
      <c r="R45" s="5"/>
      <c r="S45" s="46" t="s">
        <v>201</v>
      </c>
      <c r="T45" s="5" t="str">
        <f>INDEX('Nike pace chart'!$BO$9:$BO$16,MATCH('Nike training program_10k'!S45,'Nike pace chart'!$BY$9:$BY$16,0))</f>
        <v>05:39</v>
      </c>
      <c r="U45" s="99">
        <f>INDEX('Nike pace chart'!$BV$9:$BV$16,MATCH('Nike training program_10k'!S45,'Nike pace chart'!$BY$9:$BY$16,0))/1000*2</f>
        <v>0.36</v>
      </c>
      <c r="V45" s="31" t="s">
        <v>228</v>
      </c>
      <c r="W45" s="5"/>
      <c r="X45" s="27"/>
      <c r="Y45" s="108"/>
      <c r="Z45" s="108"/>
      <c r="AA45" s="108"/>
      <c r="AB45" s="109"/>
      <c r="AC45" s="5"/>
      <c r="AD45" s="27"/>
      <c r="AE45" s="84"/>
      <c r="AF45" s="111"/>
      <c r="AG45" s="27"/>
      <c r="AH45" s="6"/>
      <c r="AI45" s="5"/>
      <c r="AJ45" s="27"/>
      <c r="AK45" s="84">
        <v>3.7037037037037038E-3</v>
      </c>
      <c r="AL45" s="111">
        <f t="shared" si="18"/>
        <v>11.25</v>
      </c>
      <c r="AM45" s="27">
        <v>1</v>
      </c>
      <c r="AN45" s="31"/>
      <c r="AO45" s="5"/>
      <c r="AP45" s="27"/>
      <c r="AQ45" s="84"/>
      <c r="AR45" s="108"/>
      <c r="AS45" s="27"/>
      <c r="AT45" s="31"/>
      <c r="AU45" s="5"/>
      <c r="AV45" s="46" t="s">
        <v>201</v>
      </c>
      <c r="AW45" s="5" t="str">
        <f>INDEX('Nike pace chart'!$BO$9:$BO$16,MATCH('Nike training program_10k'!AV45,'Nike pace chart'!$BY$9:$BY$16,0))</f>
        <v>05:39</v>
      </c>
      <c r="AX45" s="81">
        <f t="shared" si="19"/>
        <v>10.619469026548673</v>
      </c>
      <c r="AY45" s="99">
        <v>0.3</v>
      </c>
      <c r="AZ45" s="31" t="s">
        <v>228</v>
      </c>
      <c r="BA45" s="5"/>
      <c r="BB45" s="27"/>
      <c r="BC45" s="108">
        <v>3.5879629629629629E-3</v>
      </c>
      <c r="BD45" s="111">
        <f t="shared" si="17"/>
        <v>11.612903225806452</v>
      </c>
      <c r="BE45" s="27">
        <v>1</v>
      </c>
      <c r="BF45" s="108"/>
      <c r="BG45" s="108"/>
      <c r="BH45" s="108"/>
      <c r="BJ45" s="108"/>
    </row>
    <row r="46" spans="2:63" hidden="1" outlineLevel="1" x14ac:dyDescent="0.25">
      <c r="B46" s="37" t="s">
        <v>242</v>
      </c>
      <c r="C46" s="5"/>
      <c r="D46" s="27"/>
      <c r="E46" s="5"/>
      <c r="F46" s="27"/>
      <c r="G46" s="6"/>
      <c r="H46" s="5"/>
      <c r="I46" s="27"/>
      <c r="J46" s="5"/>
      <c r="K46" s="27"/>
      <c r="L46" s="31"/>
      <c r="M46" s="5"/>
      <c r="N46" s="27"/>
      <c r="O46" s="5"/>
      <c r="P46" s="27"/>
      <c r="Q46" s="31"/>
      <c r="R46" s="5">
        <v>3</v>
      </c>
      <c r="S46" s="49" t="s">
        <v>195</v>
      </c>
      <c r="T46" s="5" t="str">
        <f>INDEX('Nike pace chart'!$BO$9:$BO$16,MATCH('Nike training program_10k'!S46,'Nike pace chart'!$BY$9:$BY$16,0))</f>
        <v>04:37</v>
      </c>
      <c r="U46" s="99">
        <f>INDEX('Nike pace chart'!$BV$9:$BV$16,MATCH('Nike training program_10k'!S46,'Nike pace chart'!$BY$9:$BY$16,0))/1000*2</f>
        <v>0.44</v>
      </c>
      <c r="V46" s="31" t="s">
        <v>228</v>
      </c>
      <c r="W46" s="5"/>
      <c r="X46" s="27"/>
      <c r="Y46" s="5"/>
      <c r="Z46" s="27"/>
      <c r="AA46" s="28"/>
      <c r="AB46" s="105"/>
      <c r="AC46" s="5"/>
      <c r="AD46" s="27"/>
      <c r="AE46" s="84"/>
      <c r="AF46" s="111"/>
      <c r="AG46" s="27"/>
      <c r="AH46" s="6"/>
      <c r="AI46" s="5"/>
      <c r="AJ46" s="27"/>
      <c r="AK46" s="84">
        <v>3.5879629629629629E-3</v>
      </c>
      <c r="AL46" s="111">
        <f t="shared" si="18"/>
        <v>11.612903225806452</v>
      </c>
      <c r="AM46" s="27">
        <v>0.5</v>
      </c>
      <c r="AN46" s="31"/>
      <c r="AO46" s="5"/>
      <c r="AP46" s="27"/>
      <c r="AQ46" s="5"/>
      <c r="AR46" s="5"/>
      <c r="AS46" s="27"/>
      <c r="AT46" s="31"/>
      <c r="AU46" s="5">
        <v>3</v>
      </c>
      <c r="AV46" s="49" t="s">
        <v>195</v>
      </c>
      <c r="AW46" s="5" t="str">
        <f>INDEX('Nike pace chart'!$BO$9:$BO$16,MATCH('Nike training program_10k'!AV46,'Nike pace chart'!$BY$9:$BY$16,0))</f>
        <v>04:37</v>
      </c>
      <c r="AX46" s="81">
        <f t="shared" si="19"/>
        <v>12.996389891696751</v>
      </c>
      <c r="AY46" s="99">
        <v>0.4</v>
      </c>
      <c r="AZ46" s="31" t="s">
        <v>228</v>
      </c>
      <c r="BA46" s="5"/>
      <c r="BB46" s="27"/>
      <c r="BC46" s="84">
        <v>3.472222222222222E-3</v>
      </c>
      <c r="BD46" s="81">
        <f t="shared" si="17"/>
        <v>12</v>
      </c>
      <c r="BE46" s="27">
        <v>1</v>
      </c>
      <c r="BF46" s="28"/>
    </row>
    <row r="47" spans="2:63" hidden="1" outlineLevel="1" x14ac:dyDescent="0.25">
      <c r="B47" s="37"/>
      <c r="C47" s="5"/>
      <c r="D47" s="27"/>
      <c r="E47" s="5"/>
      <c r="F47" s="27"/>
      <c r="G47" s="6"/>
      <c r="H47" s="5"/>
      <c r="I47" s="27"/>
      <c r="J47" s="5"/>
      <c r="K47" s="27"/>
      <c r="L47" s="31"/>
      <c r="M47" s="5"/>
      <c r="N47" s="27"/>
      <c r="O47" s="5"/>
      <c r="P47" s="27"/>
      <c r="Q47" s="31"/>
      <c r="R47" s="5"/>
      <c r="S47" s="49"/>
      <c r="T47" s="5"/>
      <c r="U47" s="99"/>
      <c r="V47" s="31"/>
      <c r="W47" s="5"/>
      <c r="X47" s="27"/>
      <c r="Y47" s="5"/>
      <c r="Z47" s="27"/>
      <c r="AA47" s="28"/>
      <c r="AB47" s="105"/>
      <c r="AC47" s="5"/>
      <c r="AD47" s="27"/>
      <c r="AE47" s="84"/>
      <c r="AF47" s="5"/>
      <c r="AG47" s="27"/>
      <c r="AH47" s="6"/>
      <c r="AI47" s="5"/>
      <c r="AJ47" s="27"/>
      <c r="AK47" s="5"/>
      <c r="AL47" s="5"/>
      <c r="AM47" s="27"/>
      <c r="AN47" s="31"/>
      <c r="AO47" s="5"/>
      <c r="AP47" s="27"/>
      <c r="AQ47" s="5"/>
      <c r="AR47" s="5"/>
      <c r="AS47" s="27"/>
      <c r="AT47" s="31"/>
      <c r="AU47" s="5"/>
      <c r="AV47" s="46" t="s">
        <v>201</v>
      </c>
      <c r="AW47" s="5" t="str">
        <f>INDEX('Nike pace chart'!$BO$9:$BO$16,MATCH('Nike training program_10k'!AV47,'Nike pace chart'!$BY$9:$BY$16,0))</f>
        <v>05:39</v>
      </c>
      <c r="AX47" s="81">
        <f t="shared" si="19"/>
        <v>10.619469026548673</v>
      </c>
      <c r="AY47" s="99">
        <v>0.15</v>
      </c>
      <c r="AZ47" s="31" t="s">
        <v>225</v>
      </c>
      <c r="BA47" s="5"/>
      <c r="BB47" s="27"/>
      <c r="BC47" s="84">
        <v>3.472222222222222E-3</v>
      </c>
      <c r="BD47" s="81">
        <f t="shared" si="17"/>
        <v>12</v>
      </c>
      <c r="BE47" s="27">
        <v>1</v>
      </c>
      <c r="BF47" s="28"/>
    </row>
    <row r="48" spans="2:63" s="36" customFormat="1" hidden="1" outlineLevel="1" x14ac:dyDescent="0.25">
      <c r="B48" s="38" t="s">
        <v>242</v>
      </c>
      <c r="C48" s="32"/>
      <c r="D48" s="33"/>
      <c r="E48" s="32"/>
      <c r="F48" s="33"/>
      <c r="G48" s="34"/>
      <c r="H48" s="32"/>
      <c r="I48" s="33"/>
      <c r="J48" s="32"/>
      <c r="K48" s="33"/>
      <c r="L48" s="35"/>
      <c r="M48" s="32"/>
      <c r="N48" s="33"/>
      <c r="O48" s="32"/>
      <c r="P48" s="33"/>
      <c r="Q48" s="35"/>
      <c r="R48" s="32"/>
      <c r="S48" s="47" t="s">
        <v>201</v>
      </c>
      <c r="T48" s="32" t="str">
        <f>INDEX('Nike pace chart'!$BO$9:$BO$16,MATCH('Nike training program_10k'!S48,'Nike pace chart'!$BY$9:$BY$16,0))</f>
        <v>05:39</v>
      </c>
      <c r="U48" s="93">
        <f>INDEX('Nike pace chart'!$BV$9:$BV$16,MATCH('Nike training program_10k'!S48,'Nike pace chart'!$BY$9:$BY$16,0))/1000*1</f>
        <v>0.18</v>
      </c>
      <c r="V48" s="35" t="s">
        <v>225</v>
      </c>
      <c r="W48" s="32"/>
      <c r="X48" s="33"/>
      <c r="Y48" s="32"/>
      <c r="Z48" s="33"/>
      <c r="AA48" s="113"/>
      <c r="AB48" s="114"/>
      <c r="AC48" s="32"/>
      <c r="AD48" s="33"/>
      <c r="AE48" s="32"/>
      <c r="AF48" s="32"/>
      <c r="AG48" s="33"/>
      <c r="AH48" s="34"/>
      <c r="AI48" s="32"/>
      <c r="AJ48" s="33"/>
      <c r="AK48" s="32"/>
      <c r="AL48" s="32"/>
      <c r="AM48" s="33"/>
      <c r="AN48" s="35"/>
      <c r="AO48" s="32"/>
      <c r="AP48" s="33"/>
      <c r="AQ48" s="32"/>
      <c r="AR48" s="32"/>
      <c r="AS48" s="33"/>
      <c r="AT48" s="35"/>
      <c r="AU48" s="32"/>
      <c r="AV48" s="33"/>
      <c r="AW48" s="32"/>
      <c r="AX48" s="32"/>
      <c r="AY48" s="93"/>
      <c r="AZ48" s="35"/>
      <c r="BA48" s="32"/>
      <c r="BB48" s="33"/>
      <c r="BC48" s="100">
        <v>3.472222222222222E-3</v>
      </c>
      <c r="BD48" s="101">
        <f t="shared" si="17"/>
        <v>12</v>
      </c>
      <c r="BE48" s="33">
        <v>1</v>
      </c>
      <c r="BF48" s="113"/>
      <c r="BI48" s="95"/>
    </row>
    <row r="49" spans="2:65" hidden="1" outlineLevel="1" x14ac:dyDescent="0.25">
      <c r="B49" s="11" t="s">
        <v>245</v>
      </c>
      <c r="C49" s="5">
        <v>1</v>
      </c>
      <c r="D49" s="46" t="s">
        <v>201</v>
      </c>
      <c r="E49" s="5" t="str">
        <f>INDEX('Nike pace chart'!$BO$9:$BO$16,MATCH('Nike training program_10k'!D49,'Nike pace chart'!$BY$9:$BY$16,0))</f>
        <v>05:39</v>
      </c>
      <c r="F49" s="99">
        <f>INDEX('Nike pace chart'!$BV$9:$BV$16,MATCH('Nike training program_10k'!D49,'Nike pace chart'!$BY$9:$BY$16,0))/1000*40</f>
        <v>7.1999999999999993</v>
      </c>
      <c r="G49" s="31" t="s">
        <v>243</v>
      </c>
      <c r="H49" s="5">
        <v>1</v>
      </c>
      <c r="I49" s="27" t="s">
        <v>255</v>
      </c>
      <c r="J49" s="5" t="s">
        <v>223</v>
      </c>
      <c r="K49" s="27" t="s">
        <v>223</v>
      </c>
      <c r="L49" s="31" t="s">
        <v>227</v>
      </c>
      <c r="M49" s="5">
        <v>1</v>
      </c>
      <c r="N49" s="46" t="s">
        <v>201</v>
      </c>
      <c r="O49" s="5" t="str">
        <f>INDEX('Nike pace chart'!$BO$9:$BO$16,MATCH('Nike training program_10k'!N49,'Nike pace chart'!$BY$9:$BY$16,0))</f>
        <v>05:39</v>
      </c>
      <c r="P49" s="99">
        <f>INDEX('Nike pace chart'!$BV$9:$BV$16,MATCH('Nike training program_10k'!N49,'Nike pace chart'!$BY$9:$BY$16,0))/1000*30</f>
        <v>5.3999999999999995</v>
      </c>
      <c r="Q49" s="31" t="s">
        <v>112</v>
      </c>
      <c r="R49" s="5">
        <v>1</v>
      </c>
      <c r="S49" s="27" t="s">
        <v>255</v>
      </c>
      <c r="T49" s="5" t="s">
        <v>223</v>
      </c>
      <c r="U49" s="99" t="s">
        <v>223</v>
      </c>
      <c r="V49" s="31" t="s">
        <v>227</v>
      </c>
      <c r="W49" s="5">
        <v>1</v>
      </c>
      <c r="X49" s="51" t="s">
        <v>241</v>
      </c>
      <c r="Y49" s="5" t="str">
        <f>INDEX('Nike pace chart'!$BO$9:$BO$16,MATCH('Nike training program_10k'!X49,'Nike pace chart'!$BY$9:$BY$16,0))</f>
        <v>04:25</v>
      </c>
      <c r="Z49" s="27">
        <v>10</v>
      </c>
      <c r="AA49" s="28" t="s">
        <v>223</v>
      </c>
      <c r="AB49" s="105"/>
      <c r="AC49" s="5">
        <v>1</v>
      </c>
      <c r="AD49" s="46" t="s">
        <v>201</v>
      </c>
      <c r="AE49" s="84" t="s">
        <v>665</v>
      </c>
      <c r="AF49" s="81">
        <f t="shared" ref="AF49" si="20">3600/(_xlfn.TEXTBEFORE(AE49,":")*60+_xlfn.TEXTAFTER(AE49,":"))</f>
        <v>9.8360655737704921</v>
      </c>
      <c r="AG49" s="27">
        <v>6.4</v>
      </c>
      <c r="AH49" s="31"/>
      <c r="AI49" s="5">
        <v>1</v>
      </c>
      <c r="AJ49" s="27" t="s">
        <v>255</v>
      </c>
      <c r="AK49" s="5" t="s">
        <v>223</v>
      </c>
      <c r="AL49" s="5"/>
      <c r="AM49" s="27" t="s">
        <v>223</v>
      </c>
      <c r="AN49" s="31" t="s">
        <v>227</v>
      </c>
      <c r="AO49" s="5">
        <v>1</v>
      </c>
      <c r="AP49" s="46" t="s">
        <v>201</v>
      </c>
      <c r="AQ49" s="84" t="s">
        <v>665</v>
      </c>
      <c r="AR49" s="81">
        <f t="shared" ref="AR49" si="21">3600/(_xlfn.TEXTBEFORE(AQ49,":")*60+_xlfn.TEXTAFTER(AQ49,":"))</f>
        <v>9.8360655737704921</v>
      </c>
      <c r="AS49" s="27">
        <v>4.8</v>
      </c>
      <c r="AT49" s="31"/>
      <c r="AU49" s="110" t="s">
        <v>646</v>
      </c>
      <c r="AV49" s="27" t="s">
        <v>255</v>
      </c>
      <c r="AW49" s="5" t="s">
        <v>223</v>
      </c>
      <c r="AX49" s="5"/>
      <c r="AY49" s="99" t="s">
        <v>223</v>
      </c>
      <c r="AZ49" s="31" t="s">
        <v>227</v>
      </c>
      <c r="BA49" s="5">
        <v>1</v>
      </c>
      <c r="BB49" s="45" t="s">
        <v>241</v>
      </c>
      <c r="BC49" s="84">
        <v>4.0509259259259257E-3</v>
      </c>
      <c r="BD49" s="81">
        <f t="shared" si="17"/>
        <v>10.285714285714286</v>
      </c>
      <c r="BE49" s="27">
        <v>1</v>
      </c>
      <c r="BF49" s="28" t="s">
        <v>223</v>
      </c>
    </row>
    <row r="50" spans="2:65" hidden="1" outlineLevel="1" x14ac:dyDescent="0.25">
      <c r="B50" s="37" t="s">
        <v>245</v>
      </c>
      <c r="C50" s="5"/>
      <c r="D50" s="27"/>
      <c r="E50" s="5"/>
      <c r="F50" s="27"/>
      <c r="G50" s="6"/>
      <c r="H50" s="5">
        <v>1</v>
      </c>
      <c r="I50" s="52" t="s">
        <v>202</v>
      </c>
      <c r="J50" s="5" t="str">
        <f>INDEX('Nike pace chart'!$BO$9:$BO$16,MATCH('Nike training program_10k'!I50,'Nike pace chart'!$BY$9:$BY$16,0))</f>
        <v>04:59</v>
      </c>
      <c r="K50" s="99">
        <f>INDEX('Nike pace chart'!$BV$9:$BV$16,MATCH('Nike training program_10k'!I50,'Nike pace chart'!$BY$9:$BY$16,0))/1000*12</f>
        <v>2.4000000000000004</v>
      </c>
      <c r="L50" s="31" t="s">
        <v>79</v>
      </c>
      <c r="M50" s="5"/>
      <c r="N50" s="27"/>
      <c r="O50" s="5"/>
      <c r="P50" s="27"/>
      <c r="Q50" s="31"/>
      <c r="R50" s="5">
        <v>1</v>
      </c>
      <c r="S50" s="49" t="s">
        <v>195</v>
      </c>
      <c r="T50" s="5" t="str">
        <f>INDEX('Nike pace chart'!$BO$9:$BO$16,MATCH('Nike training program_10k'!S50,'Nike pace chart'!$BY$9:$BY$16,0))</f>
        <v>04:37</v>
      </c>
      <c r="U50" s="99">
        <f>INDEX('Nike pace chart'!$BV$9:$BV$16,MATCH('Nike training program_10k'!S50,'Nike pace chart'!$BY$9:$BY$16,0))/1000*2</f>
        <v>0.44</v>
      </c>
      <c r="V50" s="31" t="s">
        <v>228</v>
      </c>
      <c r="W50" s="5"/>
      <c r="X50" s="27"/>
      <c r="Y50" s="5"/>
      <c r="Z50" s="27"/>
      <c r="AA50" s="28"/>
      <c r="AB50" s="105"/>
      <c r="AC50" s="5"/>
      <c r="AD50" s="27"/>
      <c r="AE50" s="84"/>
      <c r="AF50" s="111"/>
      <c r="AG50" s="27"/>
      <c r="AH50" s="6"/>
      <c r="AI50" s="5">
        <v>1</v>
      </c>
      <c r="AJ50" s="52" t="s">
        <v>202</v>
      </c>
      <c r="AK50" s="84">
        <v>3.9351851851851848E-3</v>
      </c>
      <c r="AL50" s="111">
        <f>3600/(MINUTE(AK50)*60+SECOND(AK50))</f>
        <v>10.588235294117647</v>
      </c>
      <c r="AM50" s="99">
        <v>1</v>
      </c>
      <c r="AN50" s="31"/>
      <c r="AO50" s="5"/>
      <c r="AP50" s="27"/>
      <c r="AQ50" s="84"/>
      <c r="AR50" s="111"/>
      <c r="AS50" s="27"/>
      <c r="AT50" s="31"/>
      <c r="AU50" s="5">
        <v>1</v>
      </c>
      <c r="AV50" s="49" t="s">
        <v>195</v>
      </c>
      <c r="AW50" s="5" t="str">
        <f>INDEX('Nike pace chart'!$BO$9:$BO$16,MATCH('Nike training program_10k'!AV50,'Nike pace chart'!$BY$9:$BY$16,0))</f>
        <v>04:37</v>
      </c>
      <c r="AX50" s="81">
        <f t="shared" ref="AX50:AX55" si="22">3600/(_xlfn.TEXTBEFORE(AW50,":")*60+_xlfn.TEXTAFTER(AW50,":"))</f>
        <v>12.996389891696751</v>
      </c>
      <c r="AY50" s="99">
        <v>0.4</v>
      </c>
      <c r="AZ50" s="31" t="s">
        <v>228</v>
      </c>
      <c r="BA50" s="5"/>
      <c r="BB50" s="27"/>
      <c r="BC50" s="84">
        <v>4.0509259259259257E-3</v>
      </c>
      <c r="BD50" s="81">
        <f t="shared" si="17"/>
        <v>10.285714285714286</v>
      </c>
      <c r="BE50" s="27">
        <v>1</v>
      </c>
      <c r="BF50" s="28"/>
    </row>
    <row r="51" spans="2:65" hidden="1" outlineLevel="1" x14ac:dyDescent="0.25">
      <c r="B51" s="37" t="s">
        <v>245</v>
      </c>
      <c r="C51" s="5"/>
      <c r="D51" s="27"/>
      <c r="E51" s="5"/>
      <c r="F51" s="27"/>
      <c r="G51" s="6"/>
      <c r="H51" s="5">
        <v>1</v>
      </c>
      <c r="I51" s="52" t="s">
        <v>202</v>
      </c>
      <c r="J51" s="5" t="str">
        <f>INDEX('Nike pace chart'!$BO$9:$BO$16,MATCH('Nike training program_10k'!I51,'Nike pace chart'!$BY$9:$BY$16,0))</f>
        <v>04:59</v>
      </c>
      <c r="K51" s="99">
        <f>INDEX('Nike pace chart'!$BV$9:$BV$16,MATCH('Nike training program_10k'!I51,'Nike pace chart'!$BY$9:$BY$16,0))/1000*11</f>
        <v>2.2000000000000002</v>
      </c>
      <c r="L51" s="31" t="s">
        <v>58</v>
      </c>
      <c r="M51" s="5"/>
      <c r="N51" s="27"/>
      <c r="O51" s="5"/>
      <c r="P51" s="27"/>
      <c r="Q51" s="31"/>
      <c r="R51" s="5"/>
      <c r="S51" s="46" t="s">
        <v>201</v>
      </c>
      <c r="T51" s="5" t="str">
        <f>INDEX('Nike pace chart'!$BO$9:$BO$16,MATCH('Nike training program_10k'!S51,'Nike pace chart'!$BY$9:$BY$16,0))</f>
        <v>05:39</v>
      </c>
      <c r="U51" s="99">
        <f>INDEX('Nike pace chart'!$BV$9:$BV$16,MATCH('Nike training program_10k'!S51,'Nike pace chart'!$BY$9:$BY$16,0))/1000*1</f>
        <v>0.18</v>
      </c>
      <c r="V51" s="31" t="s">
        <v>225</v>
      </c>
      <c r="W51" s="5"/>
      <c r="X51" s="27"/>
      <c r="Y51" s="5"/>
      <c r="Z51" s="5"/>
      <c r="AA51" s="5"/>
      <c r="AB51" s="106"/>
      <c r="AC51" s="5"/>
      <c r="AD51" s="27"/>
      <c r="AE51" s="84"/>
      <c r="AF51" s="111"/>
      <c r="AG51" s="27"/>
      <c r="AH51" s="6"/>
      <c r="AK51" s="84">
        <v>3.8194444444444443E-3</v>
      </c>
      <c r="AL51" s="111">
        <f t="shared" ref="AL51:AL53" si="23">3600/(MINUTE(AK51)*60+SECOND(AK51))</f>
        <v>10.909090909090908</v>
      </c>
      <c r="AM51" s="99">
        <v>1</v>
      </c>
      <c r="AN51" s="31"/>
      <c r="AO51" s="5"/>
      <c r="AP51" s="27"/>
      <c r="AQ51" s="84"/>
      <c r="AR51" s="111"/>
      <c r="AS51" s="27"/>
      <c r="AT51" s="31"/>
      <c r="AU51" s="5"/>
      <c r="AV51" s="46" t="s">
        <v>201</v>
      </c>
      <c r="AW51" s="5" t="str">
        <f>INDEX('Nike pace chart'!$BO$9:$BO$16,MATCH('Nike training program_10k'!AV51,'Nike pace chart'!$BY$9:$BY$16,0))</f>
        <v>05:39</v>
      </c>
      <c r="AX51" s="81">
        <f t="shared" si="22"/>
        <v>10.619469026548673</v>
      </c>
      <c r="AY51" s="99">
        <v>0.15</v>
      </c>
      <c r="AZ51" s="31" t="s">
        <v>225</v>
      </c>
      <c r="BA51" s="5"/>
      <c r="BB51" s="27"/>
      <c r="BC51" s="84">
        <v>3.9351851851851848E-3</v>
      </c>
      <c r="BD51" s="81">
        <f t="shared" si="17"/>
        <v>10.588235294117647</v>
      </c>
      <c r="BE51" s="27">
        <v>1</v>
      </c>
      <c r="BF51" s="5"/>
      <c r="BG51" s="5"/>
      <c r="BH51" s="5"/>
      <c r="BI51" s="107"/>
      <c r="BJ51" s="5"/>
      <c r="BK51" s="5"/>
      <c r="BL51" s="5"/>
      <c r="BM51" s="108"/>
    </row>
    <row r="52" spans="2:65" hidden="1" outlineLevel="1" x14ac:dyDescent="0.25">
      <c r="B52" s="37" t="s">
        <v>245</v>
      </c>
      <c r="C52" s="5"/>
      <c r="D52" s="27"/>
      <c r="E52" s="5"/>
      <c r="F52" s="27"/>
      <c r="G52" s="6"/>
      <c r="H52" s="5"/>
      <c r="I52" s="27"/>
      <c r="J52" s="5"/>
      <c r="K52" s="27"/>
      <c r="L52" s="31"/>
      <c r="M52" s="5"/>
      <c r="N52" s="27"/>
      <c r="O52" s="5"/>
      <c r="P52" s="27"/>
      <c r="Q52" s="31"/>
      <c r="R52" s="5">
        <v>1</v>
      </c>
      <c r="S52" s="45" t="s">
        <v>241</v>
      </c>
      <c r="T52" s="5" t="str">
        <f>INDEX('Nike pace chart'!$BO$9:$BO$16,MATCH('Nike training program_10k'!S52,'Nike pace chart'!$BY$9:$BY$16,0))</f>
        <v>04:25</v>
      </c>
      <c r="U52" s="99">
        <f>INDEX('Nike pace chart'!$BV$9:$BV$16,MATCH('Nike training program_10k'!S52,'Nike pace chart'!$BY$9:$BY$16,0))/1000*1</f>
        <v>0.23</v>
      </c>
      <c r="V52" s="31" t="s">
        <v>225</v>
      </c>
      <c r="W52" s="5"/>
      <c r="X52" s="27"/>
      <c r="Y52" s="108"/>
      <c r="Z52" s="108"/>
      <c r="AA52" s="108"/>
      <c r="AB52" s="109"/>
      <c r="AC52" s="5"/>
      <c r="AD52" s="27"/>
      <c r="AE52" s="84"/>
      <c r="AF52" s="111"/>
      <c r="AG52" s="27"/>
      <c r="AH52" s="6"/>
      <c r="AI52" s="5"/>
      <c r="AK52" s="84">
        <v>3.7037037037037038E-3</v>
      </c>
      <c r="AL52" s="111">
        <f t="shared" si="23"/>
        <v>11.25</v>
      </c>
      <c r="AM52" s="99">
        <v>1</v>
      </c>
      <c r="AN52" s="31"/>
      <c r="AO52" s="5"/>
      <c r="AP52" s="27"/>
      <c r="AQ52" s="84"/>
      <c r="AR52" s="111"/>
      <c r="AS52" s="27"/>
      <c r="AT52" s="31"/>
      <c r="AU52" s="5">
        <v>1</v>
      </c>
      <c r="AV52" s="45" t="s">
        <v>241</v>
      </c>
      <c r="AW52" s="5" t="str">
        <f>INDEX('Nike pace chart'!$BO$9:$BO$16,MATCH('Nike training program_10k'!AV52,'Nike pace chart'!$BY$9:$BY$16,0))</f>
        <v>04:25</v>
      </c>
      <c r="AX52" s="81">
        <f t="shared" si="22"/>
        <v>13.584905660377359</v>
      </c>
      <c r="AY52" s="99">
        <v>0.2</v>
      </c>
      <c r="AZ52" s="31" t="s">
        <v>225</v>
      </c>
      <c r="BA52" s="5"/>
      <c r="BB52" s="27"/>
      <c r="BC52" s="108">
        <v>3.9351851851851848E-3</v>
      </c>
      <c r="BD52" s="111">
        <f t="shared" si="17"/>
        <v>10.588235294117647</v>
      </c>
      <c r="BE52" s="27">
        <v>1</v>
      </c>
      <c r="BF52" s="108"/>
      <c r="BG52" s="108"/>
      <c r="BH52" s="108"/>
      <c r="BJ52" s="108"/>
      <c r="BK52" s="108"/>
      <c r="BL52" s="108"/>
    </row>
    <row r="53" spans="2:65" hidden="1" outlineLevel="1" x14ac:dyDescent="0.25">
      <c r="B53" s="37" t="s">
        <v>245</v>
      </c>
      <c r="C53" s="5"/>
      <c r="D53" s="27"/>
      <c r="E53" s="5"/>
      <c r="F53" s="27"/>
      <c r="G53" s="6"/>
      <c r="H53" s="5"/>
      <c r="I53" s="27"/>
      <c r="J53" s="5"/>
      <c r="K53" s="27"/>
      <c r="L53" s="31"/>
      <c r="M53" s="5"/>
      <c r="N53" s="27"/>
      <c r="O53" s="5"/>
      <c r="P53" s="27"/>
      <c r="Q53" s="31"/>
      <c r="R53" s="5"/>
      <c r="S53" s="46" t="s">
        <v>201</v>
      </c>
      <c r="T53" s="5" t="str">
        <f>INDEX('Nike pace chart'!$BO$9:$BO$16,MATCH('Nike training program_10k'!S53,'Nike pace chart'!$BY$9:$BY$16,0))</f>
        <v>05:39</v>
      </c>
      <c r="U53" s="99">
        <f>INDEX('Nike pace chart'!$BV$9:$BV$16,MATCH('Nike training program_10k'!S53,'Nike pace chart'!$BY$9:$BY$16,0))/1000*0.5</f>
        <v>0.09</v>
      </c>
      <c r="V53" s="31" t="s">
        <v>230</v>
      </c>
      <c r="W53" s="5"/>
      <c r="X53" s="27"/>
      <c r="Y53" s="5"/>
      <c r="Z53" s="27"/>
      <c r="AA53" s="28"/>
      <c r="AB53" s="105"/>
      <c r="AC53" s="5"/>
      <c r="AD53" s="27"/>
      <c r="AE53" s="84"/>
      <c r="AF53" s="111"/>
      <c r="AG53" s="27"/>
      <c r="AH53" s="6"/>
      <c r="AI53" s="5"/>
      <c r="AJ53" s="27"/>
      <c r="AK53" s="84">
        <v>3.5879629629629629E-3</v>
      </c>
      <c r="AL53" s="111">
        <f t="shared" si="23"/>
        <v>11.612903225806452</v>
      </c>
      <c r="AM53" s="99">
        <v>1</v>
      </c>
      <c r="AN53" s="31"/>
      <c r="AO53" s="5"/>
      <c r="AP53" s="27"/>
      <c r="AQ53" s="84"/>
      <c r="AR53" s="111"/>
      <c r="AS53" s="27"/>
      <c r="AT53" s="31"/>
      <c r="AU53" s="5"/>
      <c r="AV53" s="46" t="s">
        <v>201</v>
      </c>
      <c r="AW53" s="5" t="str">
        <f>INDEX('Nike pace chart'!$BO$9:$BO$16,MATCH('Nike training program_10k'!AV53,'Nike pace chart'!$BY$9:$BY$16,0))</f>
        <v>05:39</v>
      </c>
      <c r="AX53" s="81">
        <f t="shared" si="22"/>
        <v>10.619469026548673</v>
      </c>
      <c r="AY53" s="99">
        <v>0.1</v>
      </c>
      <c r="AZ53" s="31" t="s">
        <v>230</v>
      </c>
      <c r="BA53" s="5"/>
      <c r="BB53" s="27"/>
      <c r="BC53" s="84">
        <v>3.8194444444444443E-3</v>
      </c>
      <c r="BD53" s="81">
        <f t="shared" si="17"/>
        <v>10.909090909090908</v>
      </c>
      <c r="BE53" s="27">
        <v>1</v>
      </c>
      <c r="BF53" s="28"/>
    </row>
    <row r="54" spans="2:65" hidden="1" outlineLevel="1" x14ac:dyDescent="0.25">
      <c r="B54" s="37" t="s">
        <v>245</v>
      </c>
      <c r="C54" s="5"/>
      <c r="D54" s="27"/>
      <c r="E54" s="5"/>
      <c r="F54" s="27"/>
      <c r="G54" s="6"/>
      <c r="H54" s="5"/>
      <c r="I54" s="27"/>
      <c r="J54" s="5"/>
      <c r="K54" s="27"/>
      <c r="L54" s="31"/>
      <c r="M54" s="5"/>
      <c r="N54" s="27"/>
      <c r="O54" s="5"/>
      <c r="P54" s="27"/>
      <c r="Q54" s="31"/>
      <c r="R54" s="5">
        <v>1</v>
      </c>
      <c r="S54" s="51" t="s">
        <v>203</v>
      </c>
      <c r="T54" s="5" t="str">
        <f>INDEX('Nike pace chart'!$BO$9:$BO$16,MATCH('Nike training program_10k'!S54,'Nike pace chart'!$BY$9:$BY$16,0))</f>
        <v>04:13</v>
      </c>
      <c r="U54" s="99">
        <f>INDEX('Nike pace chart'!$BV$9:$BV$16,MATCH('Nike training program_10k'!S54,'Nike pace chart'!$BY$9:$BY$16,0))/1000*0.25</f>
        <v>0.06</v>
      </c>
      <c r="V54" s="31" t="s">
        <v>231</v>
      </c>
      <c r="W54" s="5"/>
      <c r="X54" s="27"/>
      <c r="Y54" s="5"/>
      <c r="Z54" s="27"/>
      <c r="AA54" s="28"/>
      <c r="AB54" s="105"/>
      <c r="AC54" s="5"/>
      <c r="AD54" s="27"/>
      <c r="AE54" s="84"/>
      <c r="AF54" s="111"/>
      <c r="AG54" s="27"/>
      <c r="AH54" s="6"/>
      <c r="AI54" s="5"/>
      <c r="AJ54" s="27"/>
      <c r="AK54" s="5"/>
      <c r="AL54" s="5"/>
      <c r="AM54" s="27"/>
      <c r="AN54" s="31"/>
      <c r="AO54" s="5"/>
      <c r="AP54" s="27"/>
      <c r="AQ54" s="5"/>
      <c r="AR54" s="5"/>
      <c r="AS54" s="27"/>
      <c r="AT54" s="31"/>
      <c r="AU54" s="5">
        <v>1</v>
      </c>
      <c r="AV54" s="51" t="s">
        <v>203</v>
      </c>
      <c r="AW54" s="5" t="str">
        <f>INDEX('Nike pace chart'!$BO$9:$BO$16,MATCH('Nike training program_10k'!AV54,'Nike pace chart'!$BY$9:$BY$16,0))</f>
        <v>04:13</v>
      </c>
      <c r="AX54" s="81">
        <f t="shared" si="22"/>
        <v>14.229249011857707</v>
      </c>
      <c r="AY54" s="99">
        <v>0.15</v>
      </c>
      <c r="AZ54" s="31" t="s">
        <v>231</v>
      </c>
      <c r="BA54" s="5"/>
      <c r="BB54" s="27"/>
      <c r="BC54" s="84">
        <v>3.8194444444444443E-3</v>
      </c>
      <c r="BD54" s="81">
        <f t="shared" si="17"/>
        <v>10.909090909090908</v>
      </c>
      <c r="BE54" s="27">
        <v>1</v>
      </c>
      <c r="BF54" s="28"/>
    </row>
    <row r="55" spans="2:65" hidden="1" outlineLevel="1" x14ac:dyDescent="0.25">
      <c r="B55" s="37" t="s">
        <v>245</v>
      </c>
      <c r="C55" s="5"/>
      <c r="D55" s="27"/>
      <c r="E55" s="5"/>
      <c r="F55" s="27"/>
      <c r="G55" s="6"/>
      <c r="H55" s="5"/>
      <c r="I55" s="27"/>
      <c r="J55" s="5"/>
      <c r="K55" s="27"/>
      <c r="L55" s="31"/>
      <c r="M55" s="5"/>
      <c r="N55" s="27"/>
      <c r="O55" s="5"/>
      <c r="P55" s="27"/>
      <c r="Q55" s="31"/>
      <c r="R55" s="5"/>
      <c r="S55" s="46" t="s">
        <v>201</v>
      </c>
      <c r="T55" s="5" t="str">
        <f>INDEX('Nike pace chart'!$BO$9:$BO$16,MATCH('Nike training program_10k'!S55,'Nike pace chart'!$BY$9:$BY$16,0))</f>
        <v>05:39</v>
      </c>
      <c r="U55" s="99">
        <f>INDEX('Nike pace chart'!$BV$9:$BV$16,MATCH('Nike training program_10k'!S55,'Nike pace chart'!$BY$9:$BY$16,0))/1000*0.5</f>
        <v>0.09</v>
      </c>
      <c r="V55" s="31" t="s">
        <v>230</v>
      </c>
      <c r="W55" s="5"/>
      <c r="X55" s="27"/>
      <c r="Y55" s="5"/>
      <c r="Z55" s="27"/>
      <c r="AA55" s="28"/>
      <c r="AB55" s="105"/>
      <c r="AC55" s="5"/>
      <c r="AD55" s="27"/>
      <c r="AE55" s="5"/>
      <c r="AF55" s="5"/>
      <c r="AG55" s="27"/>
      <c r="AH55" s="6"/>
      <c r="AI55" s="5"/>
      <c r="AJ55" s="27"/>
      <c r="AK55" s="5"/>
      <c r="AL55" s="5"/>
      <c r="AM55" s="27"/>
      <c r="AN55" s="31"/>
      <c r="AO55" s="5"/>
      <c r="AP55" s="27"/>
      <c r="AQ55" s="5"/>
      <c r="AR55" s="5"/>
      <c r="AS55" s="27"/>
      <c r="AT55" s="31"/>
      <c r="AU55" s="5"/>
      <c r="AV55" s="46" t="s">
        <v>201</v>
      </c>
      <c r="AW55" s="5" t="str">
        <f>INDEX('Nike pace chart'!$BO$9:$BO$16,MATCH('Nike training program_10k'!AV55,'Nike pace chart'!$BY$9:$BY$16,0))</f>
        <v>05:39</v>
      </c>
      <c r="AX55" s="81">
        <f t="shared" si="22"/>
        <v>10.619469026548673</v>
      </c>
      <c r="AY55" s="99">
        <v>0.4</v>
      </c>
      <c r="AZ55" s="31" t="s">
        <v>230</v>
      </c>
      <c r="BA55" s="5"/>
      <c r="BB55" s="27"/>
      <c r="BC55" s="84">
        <v>3.7037037037037038E-3</v>
      </c>
      <c r="BD55" s="81">
        <f t="shared" si="17"/>
        <v>11.25</v>
      </c>
      <c r="BE55" s="27">
        <v>1</v>
      </c>
      <c r="BF55" s="28"/>
    </row>
    <row r="56" spans="2:65" hidden="1" outlineLevel="1" x14ac:dyDescent="0.25">
      <c r="B56" s="37" t="s">
        <v>245</v>
      </c>
      <c r="C56" s="5"/>
      <c r="D56" s="27"/>
      <c r="E56" s="5"/>
      <c r="F56" s="27"/>
      <c r="G56" s="6"/>
      <c r="H56" s="5"/>
      <c r="I56" s="27"/>
      <c r="J56" s="5"/>
      <c r="K56" s="27"/>
      <c r="L56" s="31"/>
      <c r="M56" s="5"/>
      <c r="N56" s="27"/>
      <c r="O56" s="5"/>
      <c r="P56" s="27"/>
      <c r="Q56" s="31"/>
      <c r="R56" s="5">
        <v>1</v>
      </c>
      <c r="S56" s="51" t="s">
        <v>203</v>
      </c>
      <c r="T56" s="5" t="str">
        <f>INDEX('Nike pace chart'!$BO$9:$BO$16,MATCH('Nike training program_10k'!S56,'Nike pace chart'!$BY$9:$BY$16,0))</f>
        <v>04:13</v>
      </c>
      <c r="U56" s="99">
        <f>INDEX('Nike pace chart'!$BV$9:$BV$16,MATCH('Nike training program_10k'!S56,'Nike pace chart'!$BY$9:$BY$16,0))/1000*0.25</f>
        <v>0.06</v>
      </c>
      <c r="V56" s="31" t="s">
        <v>231</v>
      </c>
      <c r="W56" s="5"/>
      <c r="X56" s="27"/>
      <c r="Y56" s="5"/>
      <c r="Z56" s="27"/>
      <c r="AA56" s="28"/>
      <c r="AB56" s="105"/>
      <c r="AC56" s="5"/>
      <c r="AD56" s="27"/>
      <c r="AE56" s="5"/>
      <c r="AF56" s="5"/>
      <c r="AG56" s="27"/>
      <c r="AH56" s="6"/>
      <c r="AI56" s="5"/>
      <c r="AJ56" s="27"/>
      <c r="AK56" s="5"/>
      <c r="AL56" s="5"/>
      <c r="AM56" s="27"/>
      <c r="AN56" s="31"/>
      <c r="AO56" s="5"/>
      <c r="AP56" s="27"/>
      <c r="AQ56" s="5"/>
      <c r="AR56" s="5"/>
      <c r="AS56" s="27"/>
      <c r="AT56" s="31"/>
      <c r="AU56" s="5"/>
      <c r="AV56" s="27"/>
      <c r="AW56" s="5"/>
      <c r="AX56" s="5"/>
      <c r="AY56" s="99"/>
      <c r="AZ56" s="31"/>
      <c r="BA56" s="5"/>
      <c r="BB56" s="27"/>
      <c r="BC56" s="84">
        <v>3.7037037037037038E-3</v>
      </c>
      <c r="BD56" s="81">
        <f t="shared" si="17"/>
        <v>11.25</v>
      </c>
      <c r="BE56" s="27">
        <v>1</v>
      </c>
      <c r="BF56" s="28"/>
    </row>
    <row r="57" spans="2:65" hidden="1" outlineLevel="1" x14ac:dyDescent="0.25">
      <c r="B57" s="37" t="s">
        <v>245</v>
      </c>
      <c r="C57" s="5"/>
      <c r="D57" s="27"/>
      <c r="E57" s="5"/>
      <c r="F57" s="27"/>
      <c r="G57" s="6"/>
      <c r="H57" s="5"/>
      <c r="I57" s="27"/>
      <c r="J57" s="5"/>
      <c r="K57" s="27"/>
      <c r="L57" s="31"/>
      <c r="M57" s="5"/>
      <c r="N57" s="27"/>
      <c r="O57" s="5"/>
      <c r="P57" s="27"/>
      <c r="Q57" s="31"/>
      <c r="R57" s="5"/>
      <c r="S57" s="46" t="s">
        <v>201</v>
      </c>
      <c r="T57" s="5" t="str">
        <f>INDEX('Nike pace chart'!$BO$9:$BO$16,MATCH('Nike training program_10k'!S57,'Nike pace chart'!$BY$9:$BY$16,0))</f>
        <v>05:39</v>
      </c>
      <c r="U57" s="99">
        <f>INDEX('Nike pace chart'!$BV$9:$BV$16,MATCH('Nike training program_10k'!S57,'Nike pace chart'!$BY$9:$BY$16,0))/1000*2</f>
        <v>0.36</v>
      </c>
      <c r="V57" s="31" t="s">
        <v>228</v>
      </c>
      <c r="W57" s="5"/>
      <c r="X57" s="27"/>
      <c r="Y57" s="5"/>
      <c r="Z57" s="27"/>
      <c r="AA57" s="28"/>
      <c r="AB57" s="105"/>
      <c r="AC57" s="5"/>
      <c r="AD57" s="27"/>
      <c r="AE57" s="5"/>
      <c r="AF57" s="5"/>
      <c r="AG57" s="27"/>
      <c r="AH57" s="6"/>
      <c r="AI57" s="5"/>
      <c r="AJ57" s="27"/>
      <c r="AK57" s="5"/>
      <c r="AL57" s="5"/>
      <c r="AM57" s="27"/>
      <c r="AN57" s="31"/>
      <c r="AO57" s="5"/>
      <c r="AP57" s="27"/>
      <c r="AQ57" s="5"/>
      <c r="AR57" s="5"/>
      <c r="AS57" s="27"/>
      <c r="AT57" s="31"/>
      <c r="AU57" s="5"/>
      <c r="AV57" s="27"/>
      <c r="AW57" s="5"/>
      <c r="AX57" s="5"/>
      <c r="AY57" s="99"/>
      <c r="AZ57" s="31"/>
      <c r="BA57" s="5"/>
      <c r="BB57" s="27"/>
      <c r="BC57" s="84">
        <v>3.5879629629629629E-3</v>
      </c>
      <c r="BD57" s="81">
        <f t="shared" si="17"/>
        <v>11.612903225806452</v>
      </c>
      <c r="BE57" s="27">
        <v>1</v>
      </c>
      <c r="BF57" s="28"/>
    </row>
    <row r="58" spans="2:65" s="36" customFormat="1" hidden="1" outlineLevel="1" x14ac:dyDescent="0.25">
      <c r="B58" s="38" t="s">
        <v>245</v>
      </c>
      <c r="C58" s="32"/>
      <c r="D58" s="33"/>
      <c r="E58" s="32"/>
      <c r="F58" s="33"/>
      <c r="G58" s="34"/>
      <c r="H58" s="32"/>
      <c r="I58" s="33"/>
      <c r="J58" s="32"/>
      <c r="K58" s="33"/>
      <c r="L58" s="35"/>
      <c r="M58" s="32"/>
      <c r="N58" s="33"/>
      <c r="O58" s="32"/>
      <c r="P58" s="33"/>
      <c r="Q58" s="35"/>
      <c r="R58" s="32" t="s">
        <v>246</v>
      </c>
      <c r="S58" s="33"/>
      <c r="T58" s="32"/>
      <c r="U58" s="33"/>
      <c r="V58" s="35"/>
      <c r="W58" s="32"/>
      <c r="X58" s="33"/>
      <c r="Y58" s="32"/>
      <c r="Z58" s="33"/>
      <c r="AA58" s="113"/>
      <c r="AB58" s="114"/>
      <c r="AC58" s="32"/>
      <c r="AD58" s="33"/>
      <c r="AE58" s="32"/>
      <c r="AF58" s="32"/>
      <c r="AG58" s="33"/>
      <c r="AH58" s="34"/>
      <c r="AI58" s="32"/>
      <c r="AJ58" s="33"/>
      <c r="AK58" s="32"/>
      <c r="AL58" s="32"/>
      <c r="AM58" s="33"/>
      <c r="AN58" s="35"/>
      <c r="AO58" s="32"/>
      <c r="AP58" s="33"/>
      <c r="AQ58" s="32"/>
      <c r="AR58" s="32"/>
      <c r="AS58" s="33"/>
      <c r="AT58" s="35"/>
      <c r="AU58" s="32"/>
      <c r="AV58" s="33"/>
      <c r="AW58" s="32"/>
      <c r="AX58" s="32"/>
      <c r="AY58" s="33"/>
      <c r="AZ58" s="35"/>
      <c r="BA58" s="32"/>
      <c r="BB58" s="33"/>
      <c r="BC58" s="100">
        <v>3.5879629629629629E-3</v>
      </c>
      <c r="BD58" s="101">
        <f t="shared" si="17"/>
        <v>11.612903225806452</v>
      </c>
      <c r="BE58" s="33">
        <v>1</v>
      </c>
      <c r="BF58" s="113"/>
      <c r="BI58" s="95"/>
    </row>
    <row r="59" spans="2:65" hidden="1" outlineLevel="1" x14ac:dyDescent="0.25">
      <c r="B59" s="11" t="s">
        <v>247</v>
      </c>
      <c r="C59" s="5">
        <v>1</v>
      </c>
      <c r="D59" s="46" t="s">
        <v>201</v>
      </c>
      <c r="E59" s="5" t="str">
        <f>INDEX('Nike pace chart'!$BO$9:$BO$16,MATCH('Nike training program_10k'!D59,'Nike pace chart'!$BY$9:$BY$16,0))</f>
        <v>05:39</v>
      </c>
      <c r="F59" s="99">
        <f>INDEX('Nike pace chart'!$BV$9:$BV$16,MATCH('Nike training program_10k'!D59,'Nike pace chart'!$BY$9:$BY$16,0))/1000*31</f>
        <v>5.58</v>
      </c>
      <c r="G59" s="31" t="s">
        <v>248</v>
      </c>
      <c r="H59" s="5">
        <v>1</v>
      </c>
      <c r="I59" s="27" t="s">
        <v>255</v>
      </c>
      <c r="J59" s="5" t="s">
        <v>223</v>
      </c>
      <c r="K59" s="27" t="s">
        <v>223</v>
      </c>
      <c r="L59" s="31" t="s">
        <v>227</v>
      </c>
      <c r="M59" s="5">
        <v>1</v>
      </c>
      <c r="N59" s="46" t="s">
        <v>201</v>
      </c>
      <c r="O59" s="5" t="str">
        <f>INDEX('Nike pace chart'!$BO$9:$BO$16,MATCH('Nike training program_10k'!N59,'Nike pace chart'!$BY$9:$BY$16,0))</f>
        <v>05:39</v>
      </c>
      <c r="P59" s="99">
        <f>INDEX('Nike pace chart'!$BV$9:$BV$16,MATCH('Nike training program_10k'!N59,'Nike pace chart'!$BY$9:$BY$16,0))/1000*50</f>
        <v>9</v>
      </c>
      <c r="Q59" s="31" t="s">
        <v>249</v>
      </c>
      <c r="R59" s="5">
        <v>1</v>
      </c>
      <c r="S59" s="27" t="s">
        <v>255</v>
      </c>
      <c r="T59" s="5" t="s">
        <v>223</v>
      </c>
      <c r="U59" s="99" t="s">
        <v>223</v>
      </c>
      <c r="V59" s="31" t="s">
        <v>244</v>
      </c>
      <c r="W59" s="5">
        <v>1</v>
      </c>
      <c r="X59" s="51" t="s">
        <v>241</v>
      </c>
      <c r="Y59" s="5" t="str">
        <f>INDEX('Nike pace chart'!$BO$9:$BO$16,MATCH('Nike training program_10k'!X59,'Nike pace chart'!$BY$9:$BY$16,0))</f>
        <v>04:25</v>
      </c>
      <c r="Z59" s="27">
        <v>11.25</v>
      </c>
      <c r="AA59" s="28" t="s">
        <v>223</v>
      </c>
      <c r="AB59" s="105"/>
      <c r="AC59" s="5">
        <v>1</v>
      </c>
      <c r="AD59" s="46" t="s">
        <v>201</v>
      </c>
      <c r="AE59" s="84" t="s">
        <v>665</v>
      </c>
      <c r="AF59" s="81">
        <f t="shared" ref="AF59" si="24">3600/(_xlfn.TEXTBEFORE(AE59,":")*60+_xlfn.TEXTAFTER(AE59,":"))</f>
        <v>9.8360655737704921</v>
      </c>
      <c r="AG59" s="27">
        <v>5</v>
      </c>
      <c r="AH59" s="31"/>
      <c r="AI59" s="5">
        <v>1</v>
      </c>
      <c r="AJ59" s="51" t="s">
        <v>591</v>
      </c>
      <c r="AK59" s="5" t="s">
        <v>223</v>
      </c>
      <c r="AL59" s="111"/>
      <c r="AM59" s="27" t="s">
        <v>223</v>
      </c>
      <c r="AN59" s="31" t="s">
        <v>227</v>
      </c>
      <c r="AO59" s="5">
        <v>1</v>
      </c>
      <c r="AP59" s="46" t="s">
        <v>201</v>
      </c>
      <c r="AQ59" s="84" t="s">
        <v>665</v>
      </c>
      <c r="AR59" s="81">
        <f t="shared" ref="AR59" si="25">3600/(_xlfn.TEXTBEFORE(AQ59,":")*60+_xlfn.TEXTAFTER(AQ59,":"))</f>
        <v>9.8360655737704921</v>
      </c>
      <c r="AS59" s="27">
        <v>8</v>
      </c>
      <c r="AT59" s="31"/>
      <c r="AU59" s="5">
        <v>1</v>
      </c>
      <c r="AV59" s="27" t="s">
        <v>255</v>
      </c>
      <c r="AW59" s="5" t="s">
        <v>223</v>
      </c>
      <c r="AX59" s="5"/>
      <c r="AY59" s="99" t="s">
        <v>223</v>
      </c>
      <c r="AZ59" s="31"/>
      <c r="BA59" s="5">
        <v>1</v>
      </c>
      <c r="BB59" s="45" t="s">
        <v>241</v>
      </c>
      <c r="BC59" s="84"/>
      <c r="BD59" s="81"/>
      <c r="BE59" s="27">
        <v>11.3</v>
      </c>
      <c r="BF59" s="28" t="s">
        <v>223</v>
      </c>
    </row>
    <row r="60" spans="2:65" hidden="1" outlineLevel="1" x14ac:dyDescent="0.25">
      <c r="B60" s="37" t="s">
        <v>247</v>
      </c>
      <c r="C60" s="5"/>
      <c r="D60" s="27"/>
      <c r="E60" s="5"/>
      <c r="F60" s="27"/>
      <c r="G60" s="6"/>
      <c r="H60" s="5">
        <v>1</v>
      </c>
      <c r="I60" s="48" t="s">
        <v>198</v>
      </c>
      <c r="J60" s="5" t="str">
        <f>INDEX('Nike pace chart'!$BO$9:$BO$16,MATCH('Nike training program_10k'!I60,'Nike pace chart'!$BY$9:$BY$16,0))</f>
        <v>04:46</v>
      </c>
      <c r="K60" s="99">
        <f>INDEX('Nike pace chart'!$BV$9:$BV$16,MATCH('Nike training program_10k'!I60,'Nike pace chart'!$BY$9:$BY$16,0))/1000*1</f>
        <v>0.21</v>
      </c>
      <c r="L60" s="31" t="s">
        <v>225</v>
      </c>
      <c r="M60" s="5"/>
      <c r="N60" s="27"/>
      <c r="O60" s="5"/>
      <c r="P60" s="27"/>
      <c r="Q60" s="31"/>
      <c r="R60" s="5">
        <v>1</v>
      </c>
      <c r="S60" s="52" t="s">
        <v>202</v>
      </c>
      <c r="T60" s="5" t="str">
        <f>INDEX('Nike pace chart'!$BO$9:$BO$16,MATCH('Nike training program_10k'!S60,'Nike pace chart'!$BY$9:$BY$16,0))</f>
        <v>04:59</v>
      </c>
      <c r="U60" s="99">
        <f>INDEX('Nike pace chart'!$BV$9:$BV$16,MATCH('Nike training program_10k'!S60,'Nike pace chart'!$BY$9:$BY$16,0))/1000*20</f>
        <v>4</v>
      </c>
      <c r="V60" s="31" t="s">
        <v>250</v>
      </c>
      <c r="W60" s="5"/>
      <c r="X60" s="27"/>
      <c r="Y60" s="5"/>
      <c r="Z60" s="27"/>
      <c r="AA60" s="28"/>
      <c r="AB60" s="105"/>
      <c r="AC60" s="5"/>
      <c r="AD60" s="27"/>
      <c r="AE60" s="84"/>
      <c r="AF60" s="111"/>
      <c r="AG60" s="27"/>
      <c r="AH60" s="6"/>
      <c r="AI60" s="5">
        <v>1</v>
      </c>
      <c r="AJ60" s="48" t="s">
        <v>198</v>
      </c>
      <c r="AK60" s="5" t="str">
        <f>INDEX('Nike pace chart'!$BO$9:$BO$16,MATCH('Nike training program_10k'!AJ60,'Nike pace chart'!$BY$9:$BY$16,0))</f>
        <v>04:46</v>
      </c>
      <c r="AL60" s="81">
        <f t="shared" ref="AL60:AL65" si="26">3600/(_xlfn.TEXTBEFORE(AK60,":")*60+_xlfn.TEXTAFTER(AK60,":"))</f>
        <v>12.587412587412587</v>
      </c>
      <c r="AM60" s="99">
        <v>0.2</v>
      </c>
      <c r="AN60" s="31" t="s">
        <v>225</v>
      </c>
      <c r="AO60" s="5"/>
      <c r="AP60" s="27"/>
      <c r="AQ60" s="84"/>
      <c r="AR60" s="111"/>
      <c r="AS60" s="27"/>
      <c r="AT60" s="31"/>
      <c r="AU60" s="5">
        <v>1</v>
      </c>
      <c r="AV60" s="52" t="s">
        <v>202</v>
      </c>
      <c r="AW60" s="84">
        <v>3.9351851851851848E-3</v>
      </c>
      <c r="AX60" s="111">
        <f t="shared" ref="AX60:AX62" si="27">3600/(MINUTE(AW60)*60+SECOND(AW60))</f>
        <v>10.588235294117647</v>
      </c>
      <c r="AY60" s="99">
        <v>1</v>
      </c>
      <c r="AZ60" s="31"/>
      <c r="BA60" s="5"/>
      <c r="BB60" s="27"/>
      <c r="BC60" s="84"/>
      <c r="BD60" s="81"/>
      <c r="BE60" s="27"/>
      <c r="BF60" s="28"/>
    </row>
    <row r="61" spans="2:65" hidden="1" outlineLevel="1" x14ac:dyDescent="0.25">
      <c r="B61" s="37" t="s">
        <v>247</v>
      </c>
      <c r="C61" s="5"/>
      <c r="D61" s="27"/>
      <c r="E61" s="5"/>
      <c r="F61" s="27"/>
      <c r="G61" s="6"/>
      <c r="H61" s="5"/>
      <c r="I61" s="46" t="s">
        <v>201</v>
      </c>
      <c r="J61" s="5" t="str">
        <f>INDEX('Nike pace chart'!$BO$9:$BO$16,MATCH('Nike training program_10k'!I61,'Nike pace chart'!$BY$9:$BY$16,0))</f>
        <v>05:39</v>
      </c>
      <c r="K61" s="99">
        <f>INDEX('Nike pace chart'!$BV$9:$BV$16,MATCH('Nike training program_10k'!I61,'Nike pace chart'!$BY$9:$BY$16,0))/1000*2</f>
        <v>0.36</v>
      </c>
      <c r="L61" s="31" t="s">
        <v>228</v>
      </c>
      <c r="M61" s="5"/>
      <c r="N61" s="27"/>
      <c r="O61" s="5"/>
      <c r="P61" s="27"/>
      <c r="Q61" s="31"/>
      <c r="R61" s="5"/>
      <c r="S61" s="27"/>
      <c r="T61" s="5"/>
      <c r="U61" s="27"/>
      <c r="V61" s="31"/>
      <c r="W61" s="5"/>
      <c r="X61" s="27"/>
      <c r="Y61" s="5"/>
      <c r="Z61" s="27"/>
      <c r="AA61" s="28"/>
      <c r="AB61" s="105"/>
      <c r="AC61" s="5"/>
      <c r="AD61" s="27"/>
      <c r="AE61" s="84"/>
      <c r="AF61" s="111"/>
      <c r="AG61" s="27"/>
      <c r="AH61" s="6"/>
      <c r="AI61" s="5"/>
      <c r="AJ61" s="46" t="s">
        <v>201</v>
      </c>
      <c r="AK61" s="5" t="str">
        <f>INDEX('Nike pace chart'!$BO$9:$BO$16,MATCH('Nike training program_10k'!AJ61,'Nike pace chart'!$BY$9:$BY$16,0))</f>
        <v>05:39</v>
      </c>
      <c r="AL61" s="81">
        <f t="shared" si="26"/>
        <v>10.619469026548673</v>
      </c>
      <c r="AM61" s="99">
        <v>0.3</v>
      </c>
      <c r="AN61" s="31" t="s">
        <v>228</v>
      </c>
      <c r="AO61" s="5"/>
      <c r="AP61" s="27"/>
      <c r="AQ61" s="84"/>
      <c r="AR61" s="111"/>
      <c r="AS61" s="27"/>
      <c r="AT61" s="31"/>
      <c r="AU61" s="5"/>
      <c r="AV61" s="27"/>
      <c r="AW61" s="84">
        <v>3.8194444444444443E-3</v>
      </c>
      <c r="AX61" s="111">
        <f t="shared" si="27"/>
        <v>10.909090909090908</v>
      </c>
      <c r="AY61" s="99">
        <v>1</v>
      </c>
      <c r="AZ61" s="31"/>
      <c r="BA61" s="5"/>
      <c r="BB61" s="27"/>
      <c r="BC61" s="84"/>
      <c r="BD61" s="81"/>
      <c r="BE61" s="27"/>
      <c r="BF61" s="28"/>
    </row>
    <row r="62" spans="2:65" hidden="1" outlineLevel="1" x14ac:dyDescent="0.25">
      <c r="B62" s="37" t="s">
        <v>247</v>
      </c>
      <c r="C62" s="5"/>
      <c r="D62" s="27"/>
      <c r="E62" s="5"/>
      <c r="F62" s="27"/>
      <c r="G62" s="6"/>
      <c r="H62" s="5">
        <v>1</v>
      </c>
      <c r="I62" s="49" t="s">
        <v>195</v>
      </c>
      <c r="J62" s="5" t="str">
        <f>INDEX('Nike pace chart'!$BO$9:$BO$16,MATCH('Nike training program_10k'!I62,'Nike pace chart'!$BY$9:$BY$16,0))</f>
        <v>04:37</v>
      </c>
      <c r="K62" s="99">
        <f>INDEX('Nike pace chart'!$BV$9:$BV$16,MATCH('Nike training program_10k'!I62,'Nike pace chart'!$BY$9:$BY$16,0))/1000*0.75</f>
        <v>0.16500000000000001</v>
      </c>
      <c r="L62" s="31" t="s">
        <v>229</v>
      </c>
      <c r="M62" s="5"/>
      <c r="N62" s="27"/>
      <c r="O62" s="5"/>
      <c r="P62" s="27"/>
      <c r="Q62" s="31"/>
      <c r="R62" s="5"/>
      <c r="S62" s="27"/>
      <c r="T62" s="5"/>
      <c r="U62" s="27"/>
      <c r="V62" s="31"/>
      <c r="W62" s="5"/>
      <c r="X62" s="27"/>
      <c r="Y62" s="5"/>
      <c r="Z62" s="27"/>
      <c r="AA62" s="28"/>
      <c r="AB62" s="105"/>
      <c r="AC62" s="5"/>
      <c r="AD62" s="27"/>
      <c r="AE62" s="84"/>
      <c r="AF62" s="111"/>
      <c r="AG62" s="27"/>
      <c r="AH62" s="6"/>
      <c r="AI62" s="5">
        <v>1</v>
      </c>
      <c r="AJ62" s="49" t="s">
        <v>195</v>
      </c>
      <c r="AK62" s="5" t="str">
        <f>INDEX('Nike pace chart'!$BO$9:$BO$16,MATCH('Nike training program_10k'!AJ62,'Nike pace chart'!$BY$9:$BY$16,0))</f>
        <v>04:37</v>
      </c>
      <c r="AL62" s="81">
        <f t="shared" si="26"/>
        <v>12.996389891696751</v>
      </c>
      <c r="AM62" s="99">
        <v>0.15</v>
      </c>
      <c r="AN62" s="31" t="s">
        <v>229</v>
      </c>
      <c r="AO62" s="5"/>
      <c r="AP62" s="27"/>
      <c r="AQ62" s="84"/>
      <c r="AR62" s="111"/>
      <c r="AS62" s="27"/>
      <c r="AT62" s="31"/>
      <c r="AU62" s="5"/>
      <c r="AV62" s="27"/>
      <c r="AW62" s="84">
        <v>3.7037037037037038E-3</v>
      </c>
      <c r="AX62" s="111">
        <f t="shared" si="27"/>
        <v>11.25</v>
      </c>
      <c r="AY62" s="99">
        <v>1</v>
      </c>
      <c r="AZ62" s="31"/>
      <c r="BA62" s="5"/>
      <c r="BB62" s="27"/>
      <c r="BC62" s="84"/>
      <c r="BD62" s="81"/>
      <c r="BE62" s="27"/>
      <c r="BF62" s="28"/>
    </row>
    <row r="63" spans="2:65" hidden="1" outlineLevel="1" x14ac:dyDescent="0.25">
      <c r="B63" s="37" t="s">
        <v>247</v>
      </c>
      <c r="C63" s="5"/>
      <c r="D63" s="27"/>
      <c r="E63" s="5"/>
      <c r="F63" s="27"/>
      <c r="G63" s="6"/>
      <c r="H63" s="5"/>
      <c r="I63" s="46" t="s">
        <v>201</v>
      </c>
      <c r="J63" s="5" t="str">
        <f>INDEX('Nike pace chart'!$BO$9:$BO$16,MATCH('Nike training program_10k'!I63,'Nike pace chart'!$BY$9:$BY$16,0))</f>
        <v>05:39</v>
      </c>
      <c r="K63" s="99">
        <f>INDEX('Nike pace chart'!$BV$9:$BV$16,MATCH('Nike training program_10k'!I63,'Nike pace chart'!$BY$9:$BY$16,0))/1000*1.5</f>
        <v>0.27</v>
      </c>
      <c r="L63" s="31" t="s">
        <v>236</v>
      </c>
      <c r="M63" s="5"/>
      <c r="N63" s="27"/>
      <c r="O63" s="5"/>
      <c r="P63" s="27"/>
      <c r="Q63" s="31"/>
      <c r="R63" s="5"/>
      <c r="S63" s="27"/>
      <c r="T63" s="5"/>
      <c r="U63" s="27"/>
      <c r="V63" s="31"/>
      <c r="W63" s="5"/>
      <c r="X63" s="27"/>
      <c r="Y63" s="5"/>
      <c r="Z63" s="27"/>
      <c r="AA63" s="28"/>
      <c r="AB63" s="105"/>
      <c r="AC63" s="5"/>
      <c r="AD63" s="27"/>
      <c r="AE63" s="84"/>
      <c r="AF63" s="111"/>
      <c r="AG63" s="27"/>
      <c r="AH63" s="6"/>
      <c r="AI63" s="5"/>
      <c r="AJ63" s="46" t="s">
        <v>201</v>
      </c>
      <c r="AK63" s="5" t="str">
        <f>INDEX('Nike pace chart'!$BO$9:$BO$16,MATCH('Nike training program_10k'!AJ63,'Nike pace chart'!$BY$9:$BY$16,0))</f>
        <v>05:39</v>
      </c>
      <c r="AL63" s="81">
        <f t="shared" si="26"/>
        <v>10.619469026548673</v>
      </c>
      <c r="AM63" s="99">
        <v>0.2</v>
      </c>
      <c r="AN63" s="31" t="s">
        <v>236</v>
      </c>
      <c r="AO63" s="5"/>
      <c r="AP63" s="27"/>
      <c r="AQ63" s="84"/>
      <c r="AR63" s="111"/>
      <c r="AS63" s="27"/>
      <c r="AT63" s="31"/>
      <c r="AU63" s="5"/>
      <c r="AV63" s="27"/>
      <c r="AW63" s="84">
        <v>3.5879629629629629E-3</v>
      </c>
      <c r="AX63" s="111">
        <f t="shared" ref="AX63" si="28">3600/(MINUTE(AW63)*60+SECOND(AW63))</f>
        <v>11.612903225806452</v>
      </c>
      <c r="AY63" s="99">
        <v>0.6</v>
      </c>
      <c r="AZ63" s="31"/>
      <c r="BA63" s="5"/>
      <c r="BB63" s="27"/>
      <c r="BC63" s="84"/>
      <c r="BD63" s="81"/>
      <c r="BE63" s="27"/>
      <c r="BF63" s="28"/>
    </row>
    <row r="64" spans="2:65" hidden="1" outlineLevel="1" x14ac:dyDescent="0.25">
      <c r="B64" s="37" t="s">
        <v>247</v>
      </c>
      <c r="C64" s="5"/>
      <c r="D64" s="27"/>
      <c r="E64" s="5"/>
      <c r="F64" s="27"/>
      <c r="G64" s="6"/>
      <c r="H64" s="5">
        <v>1</v>
      </c>
      <c r="I64" s="45" t="s">
        <v>241</v>
      </c>
      <c r="J64" s="5" t="str">
        <f>INDEX('Nike pace chart'!$BO$9:$BO$16,MATCH('Nike training program_10k'!I64,'Nike pace chart'!$BY$9:$BY$16,0))</f>
        <v>04:25</v>
      </c>
      <c r="K64" s="99">
        <f>INDEX('Nike pace chart'!$BV$9:$BV$16,MATCH('Nike training program_10k'!I64,'Nike pace chart'!$BY$9:$BY$16,0))/1000*0.5</f>
        <v>0.115</v>
      </c>
      <c r="L64" s="31" t="s">
        <v>230</v>
      </c>
      <c r="M64" s="5"/>
      <c r="N64" s="27"/>
      <c r="O64" s="5"/>
      <c r="P64" s="27"/>
      <c r="Q64" s="31"/>
      <c r="R64" s="5"/>
      <c r="S64" s="27"/>
      <c r="T64" s="5"/>
      <c r="U64" s="27"/>
      <c r="V64" s="31"/>
      <c r="W64" s="5"/>
      <c r="X64" s="27"/>
      <c r="Y64" s="5"/>
      <c r="Z64" s="27"/>
      <c r="AA64" s="28"/>
      <c r="AB64" s="105"/>
      <c r="AC64" s="5"/>
      <c r="AD64" s="27"/>
      <c r="AE64" s="5"/>
      <c r="AF64" s="5"/>
      <c r="AG64" s="27"/>
      <c r="AH64" s="6"/>
      <c r="AI64" s="5">
        <v>1</v>
      </c>
      <c r="AJ64" s="45" t="s">
        <v>241</v>
      </c>
      <c r="AK64" s="5" t="str">
        <f>INDEX('Nike pace chart'!$BO$9:$BO$16,MATCH('Nike training program_10k'!AJ64,'Nike pace chart'!$BY$9:$BY$16,0))</f>
        <v>04:25</v>
      </c>
      <c r="AL64" s="81">
        <f t="shared" si="26"/>
        <v>13.584905660377359</v>
      </c>
      <c r="AM64" s="99">
        <v>0.1</v>
      </c>
      <c r="AN64" s="31" t="s">
        <v>230</v>
      </c>
      <c r="AO64" s="5"/>
      <c r="AP64" s="27"/>
      <c r="AQ64" s="84"/>
      <c r="AR64" s="111"/>
      <c r="AS64" s="27"/>
      <c r="AT64" s="31"/>
      <c r="AU64" s="5"/>
      <c r="AV64" s="27"/>
      <c r="AW64" s="5"/>
      <c r="AX64" s="5"/>
      <c r="AY64" s="27"/>
      <c r="AZ64" s="31"/>
      <c r="BA64" s="5"/>
      <c r="BB64" s="27"/>
      <c r="BC64" s="84"/>
      <c r="BD64" s="81"/>
      <c r="BE64" s="27"/>
      <c r="BF64" s="28"/>
    </row>
    <row r="65" spans="2:61" hidden="1" outlineLevel="1" x14ac:dyDescent="0.25">
      <c r="B65" s="37"/>
      <c r="C65" s="5"/>
      <c r="D65" s="27"/>
      <c r="E65" s="5"/>
      <c r="F65" s="27"/>
      <c r="G65" s="6"/>
      <c r="H65" s="5"/>
      <c r="I65" s="45"/>
      <c r="J65" s="5"/>
      <c r="K65" s="99"/>
      <c r="L65" s="31"/>
      <c r="M65" s="5"/>
      <c r="N65" s="27"/>
      <c r="O65" s="5"/>
      <c r="P65" s="27"/>
      <c r="Q65" s="31"/>
      <c r="R65" s="5"/>
      <c r="S65" s="27"/>
      <c r="T65" s="5"/>
      <c r="U65" s="27"/>
      <c r="V65" s="31"/>
      <c r="W65" s="5"/>
      <c r="X65" s="27"/>
      <c r="Y65" s="5"/>
      <c r="Z65" s="27"/>
      <c r="AA65" s="28"/>
      <c r="AB65" s="105"/>
      <c r="AC65" s="5"/>
      <c r="AD65" s="27"/>
      <c r="AE65" s="5"/>
      <c r="AF65" s="5"/>
      <c r="AG65" s="27"/>
      <c r="AH65" s="6"/>
      <c r="AI65" s="5"/>
      <c r="AJ65" s="46" t="s">
        <v>201</v>
      </c>
      <c r="AK65" s="5" t="str">
        <f>INDEX('Nike pace chart'!$BO$9:$BO$16,MATCH('Nike training program_10k'!AJ65,'Nike pace chart'!$BY$9:$BY$16,0))</f>
        <v>05:39</v>
      </c>
      <c r="AL65" s="81">
        <f t="shared" si="26"/>
        <v>10.619469026548673</v>
      </c>
      <c r="AM65" s="99">
        <v>0.15</v>
      </c>
      <c r="AN65" s="31" t="s">
        <v>225</v>
      </c>
      <c r="AO65" s="5"/>
      <c r="AP65" s="27"/>
      <c r="AQ65" s="84"/>
      <c r="AR65" s="111"/>
      <c r="AS65" s="27"/>
      <c r="AT65" s="31"/>
      <c r="AU65" s="5"/>
      <c r="AV65" s="27"/>
      <c r="AW65" s="5"/>
      <c r="AX65" s="5"/>
      <c r="AY65" s="27"/>
      <c r="AZ65" s="31"/>
      <c r="BA65" s="5"/>
      <c r="BB65" s="27"/>
      <c r="BC65" s="84"/>
      <c r="BD65" s="81"/>
      <c r="BE65" s="27"/>
      <c r="BF65" s="28"/>
    </row>
    <row r="66" spans="2:61" hidden="1" outlineLevel="1" x14ac:dyDescent="0.25">
      <c r="B66" s="37"/>
      <c r="C66" s="5"/>
      <c r="D66" s="27"/>
      <c r="E66" s="5"/>
      <c r="F66" s="27"/>
      <c r="G66" s="6"/>
      <c r="H66" s="5"/>
      <c r="I66" s="45"/>
      <c r="J66" s="5"/>
      <c r="K66" s="99"/>
      <c r="L66" s="31"/>
      <c r="M66" s="5"/>
      <c r="N66" s="27"/>
      <c r="O66" s="5"/>
      <c r="P66" s="27"/>
      <c r="Q66" s="31"/>
      <c r="R66" s="5"/>
      <c r="S66" s="27"/>
      <c r="T66" s="5"/>
      <c r="U66" s="27"/>
      <c r="V66" s="31"/>
      <c r="W66" s="5"/>
      <c r="X66" s="27"/>
      <c r="Y66" s="5"/>
      <c r="Z66" s="27"/>
      <c r="AA66" s="28"/>
      <c r="AB66" s="105"/>
      <c r="AC66" s="5"/>
      <c r="AD66" s="27"/>
      <c r="AE66" s="5"/>
      <c r="AF66" s="5"/>
      <c r="AG66" s="27"/>
      <c r="AH66" s="6"/>
      <c r="AI66" s="5"/>
      <c r="AJ66" s="27"/>
      <c r="AK66" s="5"/>
      <c r="AL66" s="5"/>
      <c r="AM66" s="99"/>
      <c r="AN66" s="31"/>
      <c r="AO66" s="5"/>
      <c r="AP66" s="27"/>
      <c r="AQ66" s="84"/>
      <c r="AR66" s="5"/>
      <c r="AS66" s="27"/>
      <c r="AT66" s="31"/>
      <c r="AU66" s="5"/>
      <c r="AV66" s="27"/>
      <c r="AW66" s="5"/>
      <c r="AX66" s="5"/>
      <c r="AY66" s="27"/>
      <c r="AZ66" s="31"/>
      <c r="BA66" s="5"/>
      <c r="BB66" s="27"/>
      <c r="BC66" s="84"/>
      <c r="BD66" s="81"/>
      <c r="BE66" s="27"/>
      <c r="BF66" s="28"/>
    </row>
    <row r="67" spans="2:61" hidden="1" outlineLevel="1" x14ac:dyDescent="0.25">
      <c r="B67" s="37"/>
      <c r="C67" s="5"/>
      <c r="D67" s="27"/>
      <c r="E67" s="5"/>
      <c r="F67" s="27"/>
      <c r="G67" s="6"/>
      <c r="H67" s="5"/>
      <c r="I67" s="45"/>
      <c r="J67" s="5"/>
      <c r="K67" s="99"/>
      <c r="L67" s="31"/>
      <c r="M67" s="5"/>
      <c r="N67" s="27"/>
      <c r="O67" s="5"/>
      <c r="P67" s="27"/>
      <c r="Q67" s="31"/>
      <c r="R67" s="5"/>
      <c r="S67" s="27"/>
      <c r="T67" s="5"/>
      <c r="U67" s="27"/>
      <c r="V67" s="31"/>
      <c r="W67" s="5"/>
      <c r="X67" s="27"/>
      <c r="Y67" s="5"/>
      <c r="Z67" s="27"/>
      <c r="AA67" s="28"/>
      <c r="AB67" s="105"/>
      <c r="AC67" s="5"/>
      <c r="AD67" s="27"/>
      <c r="AE67" s="5"/>
      <c r="AF67" s="5"/>
      <c r="AG67" s="27"/>
      <c r="AH67" s="6"/>
      <c r="AI67" s="5"/>
      <c r="AJ67" s="27"/>
      <c r="AK67" s="5"/>
      <c r="AL67" s="5"/>
      <c r="AM67" s="99"/>
      <c r="AN67" s="31"/>
      <c r="AO67" s="5"/>
      <c r="AP67" s="27"/>
      <c r="AQ67" s="84"/>
      <c r="AR67" s="5"/>
      <c r="AS67" s="27"/>
      <c r="AT67" s="31"/>
      <c r="AU67" s="5"/>
      <c r="AV67" s="27"/>
      <c r="AW67" s="5"/>
      <c r="AX67" s="5"/>
      <c r="AY67" s="27"/>
      <c r="AZ67" s="31"/>
      <c r="BA67" s="5"/>
      <c r="BB67" s="27"/>
      <c r="BC67" s="84"/>
      <c r="BD67" s="81"/>
      <c r="BE67" s="27"/>
      <c r="BF67" s="28"/>
    </row>
    <row r="68" spans="2:61" hidden="1" outlineLevel="1" x14ac:dyDescent="0.25">
      <c r="B68" s="37"/>
      <c r="C68" s="5"/>
      <c r="D68" s="27"/>
      <c r="E68" s="5"/>
      <c r="F68" s="27"/>
      <c r="G68" s="6"/>
      <c r="H68" s="5"/>
      <c r="I68" s="45"/>
      <c r="J68" s="5"/>
      <c r="K68" s="99"/>
      <c r="L68" s="31"/>
      <c r="M68" s="5"/>
      <c r="N68" s="27"/>
      <c r="O68" s="5"/>
      <c r="P68" s="27"/>
      <c r="Q68" s="31"/>
      <c r="R68" s="5"/>
      <c r="S68" s="27"/>
      <c r="T68" s="5"/>
      <c r="U68" s="27"/>
      <c r="V68" s="31"/>
      <c r="W68" s="5"/>
      <c r="X68" s="27"/>
      <c r="Y68" s="5"/>
      <c r="Z68" s="27"/>
      <c r="AA68" s="28"/>
      <c r="AB68" s="105"/>
      <c r="AC68" s="5"/>
      <c r="AD68" s="27"/>
      <c r="AE68" s="5"/>
      <c r="AF68" s="5"/>
      <c r="AG68" s="27"/>
      <c r="AH68" s="6"/>
      <c r="AI68" s="5"/>
      <c r="AJ68" s="27"/>
      <c r="AK68" s="5"/>
      <c r="AL68" s="5"/>
      <c r="AM68" s="99"/>
      <c r="AN68" s="31"/>
      <c r="AO68" s="5"/>
      <c r="AP68" s="27"/>
      <c r="AQ68" s="84"/>
      <c r="AR68" s="5"/>
      <c r="AS68" s="27"/>
      <c r="AT68" s="31"/>
      <c r="AU68" s="5"/>
      <c r="AV68" s="27"/>
      <c r="AW68" s="5"/>
      <c r="AX68" s="5"/>
      <c r="AY68" s="27"/>
      <c r="AZ68" s="31"/>
      <c r="BA68" s="5"/>
      <c r="BB68" s="27"/>
      <c r="BC68" s="84"/>
      <c r="BD68" s="81"/>
      <c r="BE68" s="27"/>
      <c r="BF68" s="28"/>
    </row>
    <row r="69" spans="2:61" hidden="1" outlineLevel="1" x14ac:dyDescent="0.25">
      <c r="B69" s="37"/>
      <c r="C69" s="5"/>
      <c r="D69" s="27"/>
      <c r="E69" s="5"/>
      <c r="F69" s="27"/>
      <c r="G69" s="6"/>
      <c r="H69" s="5"/>
      <c r="I69" s="45"/>
      <c r="J69" s="5"/>
      <c r="K69" s="99"/>
      <c r="L69" s="31"/>
      <c r="M69" s="5"/>
      <c r="N69" s="27"/>
      <c r="O69" s="5"/>
      <c r="P69" s="27"/>
      <c r="Q69" s="31"/>
      <c r="R69" s="5"/>
      <c r="S69" s="27"/>
      <c r="T69" s="5"/>
      <c r="U69" s="27"/>
      <c r="V69" s="31"/>
      <c r="W69" s="5"/>
      <c r="X69" s="27"/>
      <c r="Y69" s="5"/>
      <c r="Z69" s="27"/>
      <c r="AA69" s="28"/>
      <c r="AB69" s="105"/>
      <c r="AC69" s="5"/>
      <c r="AD69" s="27"/>
      <c r="AE69" s="5"/>
      <c r="AF69" s="5"/>
      <c r="AG69" s="27"/>
      <c r="AH69" s="6"/>
      <c r="AI69" s="5"/>
      <c r="AJ69" s="27"/>
      <c r="AK69" s="5"/>
      <c r="AL69" s="5"/>
      <c r="AM69" s="99"/>
      <c r="AN69" s="31"/>
      <c r="AO69" s="5"/>
      <c r="AP69" s="27"/>
      <c r="AQ69" s="84"/>
      <c r="AR69" s="5"/>
      <c r="AS69" s="27"/>
      <c r="AT69" s="31"/>
      <c r="AU69" s="5"/>
      <c r="AV69" s="27"/>
      <c r="AW69" s="5"/>
      <c r="AX69" s="5"/>
      <c r="AY69" s="27"/>
      <c r="AZ69" s="31"/>
      <c r="BA69" s="5"/>
      <c r="BB69" s="27"/>
      <c r="BC69" s="84"/>
      <c r="BD69" s="81"/>
      <c r="BE69" s="27"/>
      <c r="BF69" s="28"/>
    </row>
    <row r="70" spans="2:61" s="36" customFormat="1" hidden="1" outlineLevel="1" x14ac:dyDescent="0.25">
      <c r="B70" s="38" t="s">
        <v>247</v>
      </c>
      <c r="C70" s="32"/>
      <c r="D70" s="33"/>
      <c r="E70" s="32"/>
      <c r="F70" s="33"/>
      <c r="G70" s="34"/>
      <c r="H70" s="32"/>
      <c r="I70" s="47" t="s">
        <v>201</v>
      </c>
      <c r="J70" s="32" t="str">
        <f>INDEX('Nike pace chart'!$BO$9:$BO$16,MATCH('Nike training program_10k'!I70,'Nike pace chart'!$BY$9:$BY$16,0))</f>
        <v>05:39</v>
      </c>
      <c r="K70" s="93">
        <f>INDEX('Nike pace chart'!$BV$9:$BV$16,MATCH('Nike training program_10k'!I70,'Nike pace chart'!$BY$9:$BY$16,0))/1000*1</f>
        <v>0.18</v>
      </c>
      <c r="L70" s="35" t="s">
        <v>225</v>
      </c>
      <c r="M70" s="32"/>
      <c r="N70" s="33"/>
      <c r="O70" s="32"/>
      <c r="P70" s="33"/>
      <c r="Q70" s="35"/>
      <c r="R70" s="32"/>
      <c r="S70" s="33"/>
      <c r="T70" s="32"/>
      <c r="U70" s="33"/>
      <c r="V70" s="35"/>
      <c r="W70" s="32"/>
      <c r="X70" s="33"/>
      <c r="Y70" s="32"/>
      <c r="Z70" s="33"/>
      <c r="AA70" s="113"/>
      <c r="AB70" s="114"/>
      <c r="AC70" s="32"/>
      <c r="AD70" s="33"/>
      <c r="AE70" s="32"/>
      <c r="AF70" s="32"/>
      <c r="AG70" s="33"/>
      <c r="AH70" s="34"/>
      <c r="AI70" s="32"/>
      <c r="AJ70" s="33"/>
      <c r="AK70" s="32"/>
      <c r="AL70" s="32"/>
      <c r="AM70" s="93"/>
      <c r="AN70" s="35"/>
      <c r="AO70" s="32"/>
      <c r="AP70" s="33"/>
      <c r="AQ70" s="100"/>
      <c r="AR70" s="32"/>
      <c r="AS70" s="33"/>
      <c r="AT70" s="35"/>
      <c r="AU70" s="32"/>
      <c r="AV70" s="33"/>
      <c r="AW70" s="32"/>
      <c r="AX70" s="32"/>
      <c r="AY70" s="33"/>
      <c r="AZ70" s="35"/>
      <c r="BA70" s="32"/>
      <c r="BB70" s="33"/>
      <c r="BC70" s="100"/>
      <c r="BD70" s="101"/>
      <c r="BE70" s="33"/>
      <c r="BF70" s="113"/>
      <c r="BI70" s="95"/>
    </row>
    <row r="71" spans="2:61" hidden="1" outlineLevel="1" x14ac:dyDescent="0.25">
      <c r="B71" s="11" t="s">
        <v>251</v>
      </c>
      <c r="C71" s="5">
        <v>1</v>
      </c>
      <c r="D71" s="46" t="s">
        <v>201</v>
      </c>
      <c r="E71" s="5" t="str">
        <f>INDEX('Nike pace chart'!$BO$9:$BO$16,MATCH('Nike training program_10k'!D71,'Nike pace chart'!$BY$9:$BY$16,0))</f>
        <v>05:39</v>
      </c>
      <c r="F71" s="99">
        <f>INDEX('Nike pace chart'!$BV$9:$BV$16,MATCH('Nike training program_10k'!D71,'Nike pace chart'!$BY$9:$BY$16,0))/1000*45</f>
        <v>8.1</v>
      </c>
      <c r="G71" s="31" t="s">
        <v>252</v>
      </c>
      <c r="H71" s="5">
        <v>1</v>
      </c>
      <c r="I71" s="27" t="s">
        <v>255</v>
      </c>
      <c r="J71" s="5" t="s">
        <v>223</v>
      </c>
      <c r="K71" s="27" t="s">
        <v>223</v>
      </c>
      <c r="L71" s="31" t="s">
        <v>227</v>
      </c>
      <c r="M71" s="5">
        <v>1</v>
      </c>
      <c r="N71" s="46" t="s">
        <v>201</v>
      </c>
      <c r="O71" s="5" t="str">
        <f>INDEX('Nike pace chart'!$BO$9:$BO$16,MATCH('Nike training program_10k'!N71,'Nike pace chart'!$BY$9:$BY$16,0))</f>
        <v>05:39</v>
      </c>
      <c r="P71" s="99">
        <f>INDEX('Nike pace chart'!$BV$9:$BV$16,MATCH('Nike training program_10k'!N71,'Nike pace chart'!$BY$9:$BY$16,0))/1000*30</f>
        <v>5.3999999999999995</v>
      </c>
      <c r="Q71" s="31" t="s">
        <v>112</v>
      </c>
      <c r="R71" s="5">
        <v>1</v>
      </c>
      <c r="S71" s="27" t="s">
        <v>255</v>
      </c>
      <c r="T71" s="5" t="s">
        <v>223</v>
      </c>
      <c r="U71" s="99" t="s">
        <v>223</v>
      </c>
      <c r="V71" s="31" t="s">
        <v>253</v>
      </c>
      <c r="W71" s="5">
        <v>1</v>
      </c>
      <c r="X71" s="51" t="s">
        <v>241</v>
      </c>
      <c r="Y71" s="5" t="str">
        <f>INDEX('Nike pace chart'!$BO$9:$BO$16,MATCH('Nike training program_10k'!X71,'Nike pace chart'!$BY$9:$BY$16,0))</f>
        <v>04:25</v>
      </c>
      <c r="Z71" s="27">
        <v>10</v>
      </c>
      <c r="AA71" s="28" t="s">
        <v>223</v>
      </c>
      <c r="AB71" s="105"/>
      <c r="AC71" s="5">
        <v>1</v>
      </c>
      <c r="AD71" s="46" t="s">
        <v>201</v>
      </c>
      <c r="AE71" s="84" t="s">
        <v>665</v>
      </c>
      <c r="AF71" s="81">
        <f t="shared" ref="AF71" si="29">3600/(_xlfn.TEXTBEFORE(AE71,":")*60+_xlfn.TEXTAFTER(AE71,":"))</f>
        <v>9.8360655737704921</v>
      </c>
      <c r="AG71" s="27">
        <v>7.2</v>
      </c>
      <c r="AH71" s="31"/>
      <c r="AI71" s="5">
        <v>1</v>
      </c>
      <c r="AJ71" s="27" t="s">
        <v>255</v>
      </c>
      <c r="AK71" s="5" t="s">
        <v>223</v>
      </c>
      <c r="AL71" s="5"/>
      <c r="AM71" s="27" t="s">
        <v>223</v>
      </c>
      <c r="AN71" s="31" t="s">
        <v>227</v>
      </c>
      <c r="AO71" s="5">
        <v>1</v>
      </c>
      <c r="AP71" s="46" t="s">
        <v>201</v>
      </c>
      <c r="AQ71" s="84" t="s">
        <v>665</v>
      </c>
      <c r="AR71" s="81">
        <f t="shared" ref="AR71" si="30">3600/(_xlfn.TEXTBEFORE(AQ71,":")*60+_xlfn.TEXTAFTER(AQ71,":"))</f>
        <v>9.8360655737704921</v>
      </c>
      <c r="AS71" s="27">
        <v>4.8</v>
      </c>
      <c r="AT71" s="31"/>
      <c r="AU71" s="5">
        <v>1</v>
      </c>
      <c r="AV71" s="27" t="s">
        <v>255</v>
      </c>
      <c r="AW71" s="5" t="s">
        <v>223</v>
      </c>
      <c r="AX71" s="5"/>
      <c r="AY71" s="99" t="s">
        <v>223</v>
      </c>
      <c r="AZ71" s="31" t="s">
        <v>253</v>
      </c>
      <c r="BA71" s="5">
        <v>1</v>
      </c>
      <c r="BB71" s="45" t="s">
        <v>241</v>
      </c>
      <c r="BC71" s="84">
        <v>4.0509259259259257E-3</v>
      </c>
      <c r="BD71" s="81">
        <f t="shared" si="17"/>
        <v>10.285714285714286</v>
      </c>
      <c r="BE71" s="27">
        <v>1</v>
      </c>
      <c r="BF71" s="28" t="s">
        <v>223</v>
      </c>
    </row>
    <row r="72" spans="2:61" hidden="1" outlineLevel="1" x14ac:dyDescent="0.25">
      <c r="B72" s="37" t="s">
        <v>251</v>
      </c>
      <c r="C72" s="5"/>
      <c r="D72" s="27"/>
      <c r="E72" s="5"/>
      <c r="F72" s="27"/>
      <c r="G72" s="6"/>
      <c r="H72" s="5">
        <v>3</v>
      </c>
      <c r="I72" s="49" t="s">
        <v>195</v>
      </c>
      <c r="J72" s="5" t="str">
        <f>INDEX('Nike pace chart'!$BO$9:$BO$16,MATCH('Nike training program_10k'!I72,'Nike pace chart'!$BY$9:$BY$16,0))</f>
        <v>04:37</v>
      </c>
      <c r="K72" s="99">
        <f>INDEX('Nike pace chart'!$BV$9:$BV$16,MATCH('Nike training program_10k'!I72,'Nike pace chart'!$BY$9:$BY$16,0))/1000*7</f>
        <v>1.54</v>
      </c>
      <c r="L72" s="31" t="s">
        <v>244</v>
      </c>
      <c r="M72" s="5"/>
      <c r="N72" s="27"/>
      <c r="O72" s="5"/>
      <c r="P72" s="27"/>
      <c r="Q72" s="31"/>
      <c r="R72" s="5">
        <v>1</v>
      </c>
      <c r="S72" s="48" t="s">
        <v>198</v>
      </c>
      <c r="T72" s="5" t="str">
        <f>INDEX('Nike pace chart'!$BO$9:$BO$16,MATCH('Nike training program_10k'!S72,'Nike pace chart'!$BY$9:$BY$16,0))</f>
        <v>04:46</v>
      </c>
      <c r="U72" s="99">
        <f>INDEX('Nike pace chart'!$BV$9:$BV$16,MATCH('Nike training program_10k'!S72,'Nike pace chart'!$BY$9:$BY$16,0))/1000*3</f>
        <v>0.63</v>
      </c>
      <c r="V72" s="31" t="s">
        <v>235</v>
      </c>
      <c r="W72" s="5"/>
      <c r="X72" s="27"/>
      <c r="Y72" s="5"/>
      <c r="Z72" s="27"/>
      <c r="AA72" s="28"/>
      <c r="AB72" s="105"/>
      <c r="AC72" s="5"/>
      <c r="AD72" s="27"/>
      <c r="AE72" s="84"/>
      <c r="AF72" s="111"/>
      <c r="AG72" s="27"/>
      <c r="AH72" s="6"/>
      <c r="AI72" s="5">
        <v>3</v>
      </c>
      <c r="AJ72" s="49" t="s">
        <v>195</v>
      </c>
      <c r="AK72" s="5" t="str">
        <f>INDEX('Nike pace chart'!$BO$9:$BO$16,MATCH('Nike training program_10k'!AJ72,'Nike pace chart'!$BY$9:$BY$16,0))</f>
        <v>04:37</v>
      </c>
      <c r="AL72" s="81">
        <f t="shared" ref="AL72:AL73" si="31">3600/(_xlfn.TEXTBEFORE(AK72,":")*60+_xlfn.TEXTAFTER(AK72,":"))</f>
        <v>12.996389891696751</v>
      </c>
      <c r="AM72" s="99">
        <v>1.4</v>
      </c>
      <c r="AN72" s="31" t="s">
        <v>244</v>
      </c>
      <c r="AO72" s="5"/>
      <c r="AP72" s="27"/>
      <c r="AQ72" s="84"/>
      <c r="AR72" s="111"/>
      <c r="AS72" s="27"/>
      <c r="AT72" s="31"/>
      <c r="AU72" s="5">
        <v>1</v>
      </c>
      <c r="AV72" s="48" t="s">
        <v>198</v>
      </c>
      <c r="AW72" s="5" t="str">
        <f>INDEX('Nike pace chart'!$BO$9:$BO$16,MATCH('Nike training program_10k'!AV72,'Nike pace chart'!$BY$9:$BY$16,0))</f>
        <v>04:46</v>
      </c>
      <c r="AX72" s="81">
        <f t="shared" ref="AX72:AX79" si="32">3600/(_xlfn.TEXTBEFORE(AW72,":")*60+_xlfn.TEXTAFTER(AW72,":"))</f>
        <v>12.587412587412587</v>
      </c>
      <c r="AY72" s="99">
        <v>1.5</v>
      </c>
      <c r="AZ72" s="31" t="s">
        <v>235</v>
      </c>
      <c r="BA72" s="5"/>
      <c r="BB72" s="27"/>
      <c r="BC72" s="84">
        <v>4.0509259259259257E-3</v>
      </c>
      <c r="BD72" s="81">
        <f t="shared" si="17"/>
        <v>10.285714285714286</v>
      </c>
      <c r="BE72" s="27">
        <v>1</v>
      </c>
      <c r="BF72" s="28"/>
    </row>
    <row r="73" spans="2:61" hidden="1" outlineLevel="1" x14ac:dyDescent="0.25">
      <c r="B73" s="37" t="s">
        <v>251</v>
      </c>
      <c r="C73" s="5"/>
      <c r="D73" s="27"/>
      <c r="E73" s="5"/>
      <c r="F73" s="27"/>
      <c r="G73" s="6"/>
      <c r="H73" s="5"/>
      <c r="I73" s="46" t="s">
        <v>201</v>
      </c>
      <c r="J73" s="5" t="str">
        <f>INDEX('Nike pace chart'!$BO$9:$BO$16,MATCH('Nike training program_10k'!I73,'Nike pace chart'!$BY$9:$BY$16,0))</f>
        <v>05:39</v>
      </c>
      <c r="K73" s="99">
        <f>INDEX('Nike pace chart'!$BV$9:$BV$16,MATCH('Nike training program_10k'!I73,'Nike pace chart'!$BY$9:$BY$16,0))/1000*2.5</f>
        <v>0.44999999999999996</v>
      </c>
      <c r="L73" s="31" t="s">
        <v>240</v>
      </c>
      <c r="M73" s="5"/>
      <c r="N73" s="27"/>
      <c r="O73" s="5"/>
      <c r="P73" s="27"/>
      <c r="Q73" s="31"/>
      <c r="R73" s="5"/>
      <c r="S73" s="46" t="s">
        <v>201</v>
      </c>
      <c r="T73" s="5" t="str">
        <f>INDEX('Nike pace chart'!$BO$9:$BO$16,MATCH('Nike training program_10k'!S73,'Nike pace chart'!$BY$9:$BY$16,0))</f>
        <v>05:39</v>
      </c>
      <c r="U73" s="99">
        <f>INDEX('Nike pace chart'!$BV$9:$BV$16,MATCH('Nike training program_10k'!S73,'Nike pace chart'!$BY$9:$BY$16,0))/1000*1.5</f>
        <v>0.27</v>
      </c>
      <c r="V73" s="31" t="s">
        <v>236</v>
      </c>
      <c r="W73" s="5"/>
      <c r="X73" s="27"/>
      <c r="Y73" s="5"/>
      <c r="Z73" s="27"/>
      <c r="AA73" s="28"/>
      <c r="AB73" s="105"/>
      <c r="AC73" s="5"/>
      <c r="AD73" s="27"/>
      <c r="AE73" s="84"/>
      <c r="AF73" s="111"/>
      <c r="AG73" s="27"/>
      <c r="AH73" s="6"/>
      <c r="AI73" s="5"/>
      <c r="AJ73" s="46" t="s">
        <v>201</v>
      </c>
      <c r="AK73" s="5" t="str">
        <f>INDEX('Nike pace chart'!$BO$9:$BO$16,MATCH('Nike training program_10k'!AJ73,'Nike pace chart'!$BY$9:$BY$16,0))</f>
        <v>05:39</v>
      </c>
      <c r="AL73" s="81">
        <f t="shared" si="31"/>
        <v>10.619469026548673</v>
      </c>
      <c r="AM73" s="99">
        <f>INDEX('Nike pace chart'!$BV$9:$BV$16,MATCH('Nike training program_10k'!AJ73,'Nike pace chart'!$BY$9:$BY$16,0))/1000*2.5</f>
        <v>0.44999999999999996</v>
      </c>
      <c r="AN73" s="31" t="s">
        <v>240</v>
      </c>
      <c r="AO73" s="5"/>
      <c r="AP73" s="27"/>
      <c r="AQ73" s="84"/>
      <c r="AR73" s="111"/>
      <c r="AS73" s="27"/>
      <c r="AT73" s="31"/>
      <c r="AU73" s="5"/>
      <c r="AV73" s="46" t="s">
        <v>201</v>
      </c>
      <c r="AW73" s="5" t="str">
        <f>INDEX('Nike pace chart'!$BO$9:$BO$16,MATCH('Nike training program_10k'!AV73,'Nike pace chart'!$BY$9:$BY$16,0))</f>
        <v>05:39</v>
      </c>
      <c r="AX73" s="81">
        <f t="shared" si="32"/>
        <v>10.619469026548673</v>
      </c>
      <c r="AY73" s="99">
        <v>0.4</v>
      </c>
      <c r="AZ73" s="31" t="s">
        <v>236</v>
      </c>
      <c r="BA73" s="5"/>
      <c r="BB73" s="27"/>
      <c r="BC73" s="84">
        <v>3.9351851851851848E-3</v>
      </c>
      <c r="BD73" s="81">
        <f t="shared" si="17"/>
        <v>10.588235294117647</v>
      </c>
      <c r="BE73" s="27">
        <v>1</v>
      </c>
      <c r="BF73" s="28"/>
    </row>
    <row r="74" spans="2:61" hidden="1" outlineLevel="1" x14ac:dyDescent="0.25">
      <c r="B74" s="37" t="s">
        <v>251</v>
      </c>
      <c r="C74" s="5"/>
      <c r="D74" s="27"/>
      <c r="E74" s="5"/>
      <c r="F74" s="27"/>
      <c r="G74" s="6"/>
      <c r="H74" s="5"/>
      <c r="I74" s="27"/>
      <c r="J74" s="5"/>
      <c r="K74" s="27"/>
      <c r="L74" s="31"/>
      <c r="M74" s="5"/>
      <c r="N74" s="27"/>
      <c r="O74" s="5"/>
      <c r="P74" s="27"/>
      <c r="Q74" s="31"/>
      <c r="R74" s="5">
        <v>1</v>
      </c>
      <c r="S74" s="45" t="s">
        <v>241</v>
      </c>
      <c r="T74" s="5" t="str">
        <f>INDEX('Nike pace chart'!$BO$9:$BO$16,MATCH('Nike training program_10k'!S74,'Nike pace chart'!$BY$9:$BY$16,0))</f>
        <v>04:25</v>
      </c>
      <c r="U74" s="99">
        <f>INDEX('Nike pace chart'!$BV$9:$BV$16,MATCH('Nike training program_10k'!S74,'Nike pace chart'!$BY$9:$BY$16,0))/1000*1</f>
        <v>0.23</v>
      </c>
      <c r="V74" s="31" t="s">
        <v>225</v>
      </c>
      <c r="W74" s="5"/>
      <c r="X74" s="27"/>
      <c r="Y74" s="5"/>
      <c r="Z74" s="27"/>
      <c r="AA74" s="28"/>
      <c r="AB74" s="105"/>
      <c r="AC74" s="5"/>
      <c r="AD74" s="27"/>
      <c r="AE74" s="84"/>
      <c r="AF74" s="111"/>
      <c r="AG74" s="27"/>
      <c r="AH74" s="6"/>
      <c r="AI74" s="5"/>
      <c r="AJ74" s="27"/>
      <c r="AK74" s="5"/>
      <c r="AL74" s="5"/>
      <c r="AM74" s="27"/>
      <c r="AN74" s="31"/>
      <c r="AO74" s="5"/>
      <c r="AP74" s="27"/>
      <c r="AQ74" s="84"/>
      <c r="AR74" s="111"/>
      <c r="AS74" s="27"/>
      <c r="AT74" s="31"/>
      <c r="AU74" s="5">
        <v>1</v>
      </c>
      <c r="AV74" s="45" t="s">
        <v>241</v>
      </c>
      <c r="AW74" s="5" t="str">
        <f>INDEX('Nike pace chart'!$BO$9:$BO$16,MATCH('Nike training program_10k'!AV74,'Nike pace chart'!$BY$9:$BY$16,0))</f>
        <v>04:25</v>
      </c>
      <c r="AX74" s="81">
        <f t="shared" si="32"/>
        <v>13.584905660377359</v>
      </c>
      <c r="AY74" s="99">
        <v>0.4</v>
      </c>
      <c r="AZ74" s="31" t="s">
        <v>225</v>
      </c>
      <c r="BA74" s="5"/>
      <c r="BB74" s="27"/>
      <c r="BC74" s="108">
        <v>3.9351851851851848E-3</v>
      </c>
      <c r="BD74" s="111">
        <f t="shared" si="17"/>
        <v>10.588235294117647</v>
      </c>
      <c r="BE74" s="27">
        <v>1</v>
      </c>
      <c r="BF74" s="28"/>
    </row>
    <row r="75" spans="2:61" hidden="1" outlineLevel="1" x14ac:dyDescent="0.25">
      <c r="B75" s="37" t="s">
        <v>251</v>
      </c>
      <c r="C75" s="5"/>
      <c r="D75" s="27"/>
      <c r="E75" s="5"/>
      <c r="F75" s="27"/>
      <c r="G75" s="6"/>
      <c r="H75" s="5"/>
      <c r="I75" s="27"/>
      <c r="J75" s="5"/>
      <c r="K75" s="27"/>
      <c r="L75" s="31"/>
      <c r="M75" s="5"/>
      <c r="N75" s="27"/>
      <c r="O75" s="5"/>
      <c r="P75" s="27"/>
      <c r="Q75" s="31"/>
      <c r="R75" s="5"/>
      <c r="S75" s="46" t="s">
        <v>201</v>
      </c>
      <c r="T75" s="5" t="str">
        <f>INDEX('Nike pace chart'!$BO$9:$BO$16,MATCH('Nike training program_10k'!S75,'Nike pace chart'!$BY$9:$BY$16,0))</f>
        <v>05:39</v>
      </c>
      <c r="U75" s="99">
        <f>INDEX('Nike pace chart'!$BV$9:$BV$16,MATCH('Nike training program_10k'!S75,'Nike pace chart'!$BY$9:$BY$16,0))/1000*1</f>
        <v>0.18</v>
      </c>
      <c r="V75" s="31" t="s">
        <v>225</v>
      </c>
      <c r="W75" s="5"/>
      <c r="X75" s="27"/>
      <c r="Y75" s="5"/>
      <c r="Z75" s="27"/>
      <c r="AA75" s="28"/>
      <c r="AB75" s="105"/>
      <c r="AC75" s="5"/>
      <c r="AD75" s="27"/>
      <c r="AE75" s="84"/>
      <c r="AF75" s="111"/>
      <c r="AG75" s="27"/>
      <c r="AH75" s="6"/>
      <c r="AI75" s="5"/>
      <c r="AJ75" s="27"/>
      <c r="AK75" s="5"/>
      <c r="AL75" s="5"/>
      <c r="AM75" s="27"/>
      <c r="AN75" s="31"/>
      <c r="AO75" s="5"/>
      <c r="AP75" s="27"/>
      <c r="AQ75" s="84"/>
      <c r="AR75" s="111"/>
      <c r="AS75" s="27"/>
      <c r="AT75" s="31"/>
      <c r="AU75" s="5"/>
      <c r="AV75" s="46" t="s">
        <v>201</v>
      </c>
      <c r="AW75" s="5" t="str">
        <f>INDEX('Nike pace chart'!$BO$9:$BO$16,MATCH('Nike training program_10k'!AV75,'Nike pace chart'!$BY$9:$BY$16,0))</f>
        <v>05:39</v>
      </c>
      <c r="AX75" s="81">
        <f t="shared" si="32"/>
        <v>10.619469026548673</v>
      </c>
      <c r="AY75" s="99">
        <v>0.35</v>
      </c>
      <c r="AZ75" s="31" t="s">
        <v>225</v>
      </c>
      <c r="BA75" s="5"/>
      <c r="BB75" s="27"/>
      <c r="BC75" s="84">
        <v>3.8194444444444443E-3</v>
      </c>
      <c r="BD75" s="81">
        <f t="shared" si="17"/>
        <v>10.909090909090908</v>
      </c>
      <c r="BE75" s="27">
        <v>1</v>
      </c>
      <c r="BF75" s="28"/>
    </row>
    <row r="76" spans="2:61" hidden="1" outlineLevel="1" x14ac:dyDescent="0.25">
      <c r="B76" s="37" t="s">
        <v>251</v>
      </c>
      <c r="C76" s="5"/>
      <c r="D76" s="27"/>
      <c r="E76" s="5"/>
      <c r="F76" s="27"/>
      <c r="G76" s="6"/>
      <c r="H76" s="5"/>
      <c r="I76" s="27"/>
      <c r="J76" s="5"/>
      <c r="K76" s="27"/>
      <c r="L76" s="31"/>
      <c r="M76" s="5"/>
      <c r="N76" s="27"/>
      <c r="O76" s="5"/>
      <c r="P76" s="27"/>
      <c r="Q76" s="31"/>
      <c r="R76" s="5">
        <v>1</v>
      </c>
      <c r="S76" s="49" t="s">
        <v>195</v>
      </c>
      <c r="T76" s="5" t="str">
        <f>INDEX('Nike pace chart'!$BO$9:$BO$16,MATCH('Nike training program_10k'!S76,'Nike pace chart'!$BY$9:$BY$16,0))</f>
        <v>04:37</v>
      </c>
      <c r="U76" s="99">
        <f>INDEX('Nike pace chart'!$BV$9:$BV$16,MATCH('Nike training program_10k'!S76,'Nike pace chart'!$BY$9:$BY$16,0))/1000*2</f>
        <v>0.44</v>
      </c>
      <c r="V76" s="31" t="s">
        <v>228</v>
      </c>
      <c r="W76" s="5"/>
      <c r="X76" s="27"/>
      <c r="Y76" s="5"/>
      <c r="Z76" s="27"/>
      <c r="AA76" s="28"/>
      <c r="AB76" s="105"/>
      <c r="AC76" s="5"/>
      <c r="AD76" s="27"/>
      <c r="AE76" s="84"/>
      <c r="AF76" s="111"/>
      <c r="AG76" s="27"/>
      <c r="AH76" s="6"/>
      <c r="AI76" s="5"/>
      <c r="AJ76" s="27"/>
      <c r="AK76" s="5"/>
      <c r="AL76" s="5"/>
      <c r="AM76" s="27"/>
      <c r="AN76" s="31"/>
      <c r="AO76" s="5"/>
      <c r="AP76" s="27"/>
      <c r="AQ76" s="5"/>
      <c r="AR76" s="5"/>
      <c r="AS76" s="27"/>
      <c r="AT76" s="31"/>
      <c r="AU76" s="5">
        <v>1</v>
      </c>
      <c r="AV76" s="49" t="s">
        <v>195</v>
      </c>
      <c r="AW76" s="5" t="str">
        <f>INDEX('Nike pace chart'!$BO$9:$BO$16,MATCH('Nike training program_10k'!AV76,'Nike pace chart'!$BY$9:$BY$16,0))</f>
        <v>04:37</v>
      </c>
      <c r="AX76" s="81">
        <f t="shared" si="32"/>
        <v>12.996389891696751</v>
      </c>
      <c r="AY76" s="99">
        <v>0.8</v>
      </c>
      <c r="AZ76" s="31" t="s">
        <v>228</v>
      </c>
      <c r="BA76" s="5"/>
      <c r="BB76" s="27"/>
      <c r="BC76" s="84">
        <v>3.8194444444444443E-3</v>
      </c>
      <c r="BD76" s="81">
        <f t="shared" si="17"/>
        <v>10.909090909090908</v>
      </c>
      <c r="BE76" s="27">
        <v>1</v>
      </c>
      <c r="BF76" s="28"/>
    </row>
    <row r="77" spans="2:61" hidden="1" outlineLevel="1" x14ac:dyDescent="0.25">
      <c r="B77" s="37" t="s">
        <v>251</v>
      </c>
      <c r="C77" s="5"/>
      <c r="D77" s="27"/>
      <c r="E77" s="5"/>
      <c r="F77" s="27"/>
      <c r="G77" s="6"/>
      <c r="H77" s="5"/>
      <c r="I77" s="27"/>
      <c r="J77" s="5"/>
      <c r="K77" s="27"/>
      <c r="L77" s="31"/>
      <c r="M77" s="5"/>
      <c r="N77" s="27"/>
      <c r="O77" s="5"/>
      <c r="P77" s="27"/>
      <c r="Q77" s="31"/>
      <c r="R77" s="5"/>
      <c r="S77" s="46" t="s">
        <v>201</v>
      </c>
      <c r="T77" s="5" t="str">
        <f>INDEX('Nike pace chart'!$BO$9:$BO$16,MATCH('Nike training program_10k'!S77,'Nike pace chart'!$BY$9:$BY$16,0))</f>
        <v>05:39</v>
      </c>
      <c r="U77" s="99">
        <f>INDEX('Nike pace chart'!$BV$9:$BV$16,MATCH('Nike training program_10k'!S77,'Nike pace chart'!$BY$9:$BY$16,0))/1000*1</f>
        <v>0.18</v>
      </c>
      <c r="V77" s="31" t="s">
        <v>225</v>
      </c>
      <c r="W77" s="5"/>
      <c r="X77" s="27"/>
      <c r="Y77" s="5"/>
      <c r="Z77" s="27"/>
      <c r="AA77" s="28"/>
      <c r="AB77" s="105"/>
      <c r="AC77" s="5"/>
      <c r="AD77" s="27"/>
      <c r="AE77" s="84"/>
      <c r="AF77" s="111"/>
      <c r="AG77" s="27"/>
      <c r="AH77" s="6"/>
      <c r="AI77" s="5"/>
      <c r="AJ77" s="27"/>
      <c r="AK77" s="5"/>
      <c r="AL77" s="5"/>
      <c r="AM77" s="27"/>
      <c r="AN77" s="31"/>
      <c r="AO77" s="5"/>
      <c r="AP77" s="27"/>
      <c r="AQ77" s="5"/>
      <c r="AR77" s="5"/>
      <c r="AS77" s="27"/>
      <c r="AT77" s="31"/>
      <c r="AU77" s="5"/>
      <c r="AV77" s="46" t="s">
        <v>201</v>
      </c>
      <c r="AW77" s="5" t="str">
        <f>INDEX('Nike pace chart'!$BO$9:$BO$16,MATCH('Nike training program_10k'!AV77,'Nike pace chart'!$BY$9:$BY$16,0))</f>
        <v>05:39</v>
      </c>
      <c r="AX77" s="81">
        <f t="shared" si="32"/>
        <v>10.619469026548673</v>
      </c>
      <c r="AY77" s="99">
        <v>0.3</v>
      </c>
      <c r="AZ77" s="31" t="s">
        <v>225</v>
      </c>
      <c r="BA77" s="5"/>
      <c r="BB77" s="27"/>
      <c r="BC77" s="84">
        <v>3.7037037037037038E-3</v>
      </c>
      <c r="BD77" s="81">
        <f t="shared" si="17"/>
        <v>11.25</v>
      </c>
      <c r="BE77" s="27">
        <v>1</v>
      </c>
      <c r="BF77" s="28"/>
    </row>
    <row r="78" spans="2:61" hidden="1" outlineLevel="1" x14ac:dyDescent="0.25">
      <c r="B78" s="37" t="s">
        <v>251</v>
      </c>
      <c r="C78" s="5"/>
      <c r="D78" s="27"/>
      <c r="E78" s="5"/>
      <c r="F78" s="27"/>
      <c r="G78" s="6"/>
      <c r="H78" s="5"/>
      <c r="I78" s="27"/>
      <c r="J78" s="5"/>
      <c r="K78" s="27"/>
      <c r="L78" s="31"/>
      <c r="M78" s="5"/>
      <c r="N78" s="27"/>
      <c r="O78" s="5"/>
      <c r="P78" s="27"/>
      <c r="Q78" s="31"/>
      <c r="R78" s="5">
        <v>1</v>
      </c>
      <c r="S78" s="45" t="s">
        <v>241</v>
      </c>
      <c r="T78" s="5" t="str">
        <f>INDEX('Nike pace chart'!$BO$9:$BO$16,MATCH('Nike training program_10k'!S78,'Nike pace chart'!$BY$9:$BY$16,0))</f>
        <v>04:25</v>
      </c>
      <c r="U78" s="99">
        <f>INDEX('Nike pace chart'!$BV$9:$BV$16,MATCH('Nike training program_10k'!S78,'Nike pace chart'!$BY$9:$BY$16,0))/1000*1</f>
        <v>0.23</v>
      </c>
      <c r="V78" s="31" t="s">
        <v>225</v>
      </c>
      <c r="W78" s="5"/>
      <c r="X78" s="27"/>
      <c r="Y78" s="5"/>
      <c r="Z78" s="27"/>
      <c r="AA78" s="28"/>
      <c r="AB78" s="105"/>
      <c r="AC78" s="5"/>
      <c r="AD78" s="27"/>
      <c r="AE78" s="5"/>
      <c r="AF78" s="5"/>
      <c r="AG78" s="27"/>
      <c r="AH78" s="6"/>
      <c r="AI78" s="5"/>
      <c r="AJ78" s="27"/>
      <c r="AK78" s="5"/>
      <c r="AL78" s="5"/>
      <c r="AM78" s="27"/>
      <c r="AN78" s="31"/>
      <c r="AO78" s="5"/>
      <c r="AP78" s="27"/>
      <c r="AQ78" s="5"/>
      <c r="AR78" s="5"/>
      <c r="AS78" s="27"/>
      <c r="AT78" s="31"/>
      <c r="AU78" s="5">
        <v>1</v>
      </c>
      <c r="AV78" s="51" t="s">
        <v>203</v>
      </c>
      <c r="AW78" s="5" t="str">
        <f>INDEX('Nike pace chart'!$BO$9:$BO$16,MATCH('Nike training program_10k'!AV78,'Nike pace chart'!$BY$9:$BY$16,0))</f>
        <v>04:13</v>
      </c>
      <c r="AX78" s="81">
        <f t="shared" si="32"/>
        <v>14.229249011857707</v>
      </c>
      <c r="AY78" s="99">
        <v>0.1</v>
      </c>
      <c r="AZ78" s="31" t="s">
        <v>225</v>
      </c>
      <c r="BA78" s="5"/>
      <c r="BB78" s="27"/>
      <c r="BC78" s="84">
        <v>3.7037037037037038E-3</v>
      </c>
      <c r="BD78" s="81">
        <f t="shared" si="17"/>
        <v>11.25</v>
      </c>
      <c r="BE78" s="27">
        <v>1</v>
      </c>
      <c r="BF78" s="28"/>
    </row>
    <row r="79" spans="2:61" hidden="1" outlineLevel="1" x14ac:dyDescent="0.25">
      <c r="B79" s="37" t="s">
        <v>251</v>
      </c>
      <c r="C79" s="5"/>
      <c r="D79" s="27"/>
      <c r="E79" s="5"/>
      <c r="F79" s="27"/>
      <c r="G79" s="6"/>
      <c r="H79" s="5"/>
      <c r="I79" s="27"/>
      <c r="J79" s="5"/>
      <c r="K79" s="27"/>
      <c r="L79" s="31"/>
      <c r="M79" s="5"/>
      <c r="N79" s="27"/>
      <c r="O79" s="5"/>
      <c r="P79" s="27"/>
      <c r="Q79" s="31"/>
      <c r="R79" s="5"/>
      <c r="S79" s="46" t="s">
        <v>201</v>
      </c>
      <c r="T79" s="5" t="str">
        <f>INDEX('Nike pace chart'!$BO$9:$BO$16,MATCH('Nike training program_10k'!S79,'Nike pace chart'!$BY$9:$BY$16,0))</f>
        <v>05:39</v>
      </c>
      <c r="U79" s="99">
        <f>INDEX('Nike pace chart'!$BV$9:$BV$16,MATCH('Nike training program_10k'!S79,'Nike pace chart'!$BY$9:$BY$16,0))/1000*1</f>
        <v>0.18</v>
      </c>
      <c r="V79" s="31" t="s">
        <v>225</v>
      </c>
      <c r="W79" s="5"/>
      <c r="X79" s="27"/>
      <c r="Y79" s="5"/>
      <c r="Z79" s="27"/>
      <c r="AA79" s="28"/>
      <c r="AB79" s="105"/>
      <c r="AC79" s="5"/>
      <c r="AD79" s="27"/>
      <c r="AE79" s="5"/>
      <c r="AF79" s="5"/>
      <c r="AG79" s="27"/>
      <c r="AH79" s="6"/>
      <c r="AI79" s="5"/>
      <c r="AJ79" s="27"/>
      <c r="AK79" s="5"/>
      <c r="AL79" s="5"/>
      <c r="AM79" s="27"/>
      <c r="AN79" s="31"/>
      <c r="AO79" s="5"/>
      <c r="AP79" s="27"/>
      <c r="AQ79" s="5"/>
      <c r="AR79" s="5"/>
      <c r="AS79" s="27"/>
      <c r="AT79" s="31"/>
      <c r="AU79" s="5"/>
      <c r="AV79" s="46" t="s">
        <v>201</v>
      </c>
      <c r="AW79" s="5" t="str">
        <f>INDEX('Nike pace chart'!$BO$9:$BO$16,MATCH('Nike training program_10k'!AV79,'Nike pace chart'!$BY$9:$BY$16,0))</f>
        <v>05:39</v>
      </c>
      <c r="AX79" s="81">
        <f t="shared" si="32"/>
        <v>10.619469026548673</v>
      </c>
      <c r="AY79" s="99">
        <v>0.15</v>
      </c>
      <c r="AZ79" s="31" t="s">
        <v>225</v>
      </c>
      <c r="BA79" s="5"/>
      <c r="BB79" s="27"/>
      <c r="BC79" s="84">
        <v>3.5879629629629629E-3</v>
      </c>
      <c r="BD79" s="81">
        <f t="shared" si="17"/>
        <v>11.612903225806452</v>
      </c>
      <c r="BE79" s="27">
        <v>1</v>
      </c>
      <c r="BF79" s="28"/>
    </row>
    <row r="80" spans="2:61" hidden="1" outlineLevel="1" x14ac:dyDescent="0.25">
      <c r="B80" s="37" t="s">
        <v>251</v>
      </c>
      <c r="C80" s="5"/>
      <c r="D80" s="27"/>
      <c r="E80" s="5"/>
      <c r="F80" s="27"/>
      <c r="G80" s="6"/>
      <c r="H80" s="5"/>
      <c r="I80" s="27"/>
      <c r="J80" s="5"/>
      <c r="K80" s="27"/>
      <c r="L80" s="31"/>
      <c r="M80" s="5"/>
      <c r="N80" s="27"/>
      <c r="O80" s="5"/>
      <c r="P80" s="27"/>
      <c r="Q80" s="31"/>
      <c r="R80" s="5">
        <v>1</v>
      </c>
      <c r="S80" s="49" t="s">
        <v>195</v>
      </c>
      <c r="T80" s="5" t="str">
        <f>INDEX('Nike pace chart'!$BO$9:$BO$16,MATCH('Nike training program_10k'!S80,'Nike pace chart'!$BY$9:$BY$16,0))</f>
        <v>04:37</v>
      </c>
      <c r="U80" s="99">
        <f>INDEX('Nike pace chart'!$BV$9:$BV$16,MATCH('Nike training program_10k'!S80,'Nike pace chart'!$BY$9:$BY$16,0))/1000*2</f>
        <v>0.44</v>
      </c>
      <c r="V80" s="31" t="s">
        <v>228</v>
      </c>
      <c r="W80" s="5"/>
      <c r="X80" s="27"/>
      <c r="Y80" s="5"/>
      <c r="Z80" s="27"/>
      <c r="AA80" s="28"/>
      <c r="AB80" s="105"/>
      <c r="AC80" s="5"/>
      <c r="AD80" s="27"/>
      <c r="AE80" s="5"/>
      <c r="AF80" s="5"/>
      <c r="AG80" s="27"/>
      <c r="AH80" s="6"/>
      <c r="AI80" s="5"/>
      <c r="AJ80" s="27"/>
      <c r="AK80" s="5"/>
      <c r="AL80" s="5"/>
      <c r="AM80" s="27"/>
      <c r="AN80" s="31"/>
      <c r="AO80" s="5"/>
      <c r="AP80" s="27"/>
      <c r="AQ80" s="5"/>
      <c r="AR80" s="5"/>
      <c r="AS80" s="27"/>
      <c r="AT80" s="31"/>
      <c r="AU80" s="5"/>
      <c r="AV80" s="27"/>
      <c r="AW80" s="5"/>
      <c r="AX80" s="5"/>
      <c r="AY80" s="99"/>
      <c r="AZ80" s="31"/>
      <c r="BA80" s="5"/>
      <c r="BB80" s="27"/>
      <c r="BC80" s="84">
        <v>3.5879629629629629E-3</v>
      </c>
      <c r="BD80" s="81">
        <f t="shared" si="17"/>
        <v>11.612903225806452</v>
      </c>
      <c r="BE80" s="27">
        <v>1</v>
      </c>
      <c r="BF80" s="28"/>
    </row>
    <row r="81" spans="2:61" hidden="1" outlineLevel="1" x14ac:dyDescent="0.25">
      <c r="B81" s="37" t="s">
        <v>251</v>
      </c>
      <c r="C81" s="5"/>
      <c r="D81" s="27"/>
      <c r="E81" s="5"/>
      <c r="F81" s="27"/>
      <c r="G81" s="6"/>
      <c r="H81" s="5"/>
      <c r="I81" s="27"/>
      <c r="J81" s="5"/>
      <c r="K81" s="27"/>
      <c r="L81" s="31"/>
      <c r="M81" s="5"/>
      <c r="N81" s="27"/>
      <c r="O81" s="5"/>
      <c r="P81" s="27"/>
      <c r="Q81" s="31"/>
      <c r="R81" s="5"/>
      <c r="S81" s="46" t="s">
        <v>201</v>
      </c>
      <c r="T81" s="5" t="str">
        <f>INDEX('Nike pace chart'!$BO$9:$BO$16,MATCH('Nike training program_10k'!S81,'Nike pace chart'!$BY$9:$BY$16,0))</f>
        <v>05:39</v>
      </c>
      <c r="U81" s="99">
        <f>INDEX('Nike pace chart'!$BV$9:$BV$16,MATCH('Nike training program_10k'!S81,'Nike pace chart'!$BY$9:$BY$16,0))/1000*1</f>
        <v>0.18</v>
      </c>
      <c r="V81" s="31" t="s">
        <v>225</v>
      </c>
      <c r="W81" s="5"/>
      <c r="X81" s="27"/>
      <c r="Y81" s="5"/>
      <c r="Z81" s="27"/>
      <c r="AA81" s="28"/>
      <c r="AB81" s="105"/>
      <c r="AC81" s="5"/>
      <c r="AD81" s="27"/>
      <c r="AE81" s="5"/>
      <c r="AF81" s="5"/>
      <c r="AG81" s="27"/>
      <c r="AH81" s="6"/>
      <c r="AI81" s="5"/>
      <c r="AJ81" s="27"/>
      <c r="AK81" s="5"/>
      <c r="AL81" s="5"/>
      <c r="AM81" s="27"/>
      <c r="AN81" s="31"/>
      <c r="AO81" s="5"/>
      <c r="AP81" s="27"/>
      <c r="AQ81" s="5"/>
      <c r="AR81" s="5"/>
      <c r="AS81" s="27"/>
      <c r="AT81" s="31"/>
      <c r="AU81" s="5"/>
      <c r="AV81" s="27"/>
      <c r="AW81" s="5"/>
      <c r="AX81" s="5"/>
      <c r="AY81" s="99"/>
      <c r="AZ81" s="31"/>
      <c r="BA81" s="5"/>
      <c r="BB81" s="27"/>
      <c r="BC81" s="5"/>
      <c r="BD81" s="5"/>
      <c r="BE81" s="27"/>
      <c r="BF81" s="28"/>
    </row>
    <row r="82" spans="2:61" hidden="1" outlineLevel="1" x14ac:dyDescent="0.25">
      <c r="B82" s="37" t="s">
        <v>251</v>
      </c>
      <c r="C82" s="5"/>
      <c r="D82" s="27"/>
      <c r="E82" s="5"/>
      <c r="F82" s="27"/>
      <c r="G82" s="6"/>
      <c r="H82" s="5"/>
      <c r="I82" s="27"/>
      <c r="J82" s="5"/>
      <c r="K82" s="27"/>
      <c r="L82" s="31"/>
      <c r="M82" s="5"/>
      <c r="N82" s="27"/>
      <c r="O82" s="5"/>
      <c r="P82" s="27"/>
      <c r="Q82" s="31"/>
      <c r="R82" s="5">
        <v>1</v>
      </c>
      <c r="S82" s="48" t="s">
        <v>198</v>
      </c>
      <c r="T82" s="5" t="str">
        <f>INDEX('Nike pace chart'!$BO$9:$BO$16,MATCH('Nike training program_10k'!S82,'Nike pace chart'!$BY$9:$BY$16,0))</f>
        <v>04:46</v>
      </c>
      <c r="U82" s="99">
        <f>INDEX('Nike pace chart'!$BV$9:$BV$16,MATCH('Nike training program_10k'!S82,'Nike pace chart'!$BY$9:$BY$16,0))/1000*5</f>
        <v>1.05</v>
      </c>
      <c r="V82" s="31" t="s">
        <v>227</v>
      </c>
      <c r="W82" s="5"/>
      <c r="X82" s="27"/>
      <c r="Y82" s="5"/>
      <c r="Z82" s="27"/>
      <c r="AA82" s="28"/>
      <c r="AB82" s="105"/>
      <c r="AC82" s="5"/>
      <c r="AD82" s="27"/>
      <c r="AE82" s="5"/>
      <c r="AF82" s="5"/>
      <c r="AG82" s="27"/>
      <c r="AH82" s="6"/>
      <c r="AI82" s="5"/>
      <c r="AJ82" s="27"/>
      <c r="AK82" s="5"/>
      <c r="AL82" s="5"/>
      <c r="AM82" s="27"/>
      <c r="AN82" s="31"/>
      <c r="AO82" s="5"/>
      <c r="AP82" s="27"/>
      <c r="AQ82" s="5"/>
      <c r="AR82" s="5"/>
      <c r="AS82" s="27"/>
      <c r="AT82" s="31"/>
      <c r="AU82" s="5"/>
      <c r="AV82" s="27"/>
      <c r="AW82" s="5"/>
      <c r="AX82" s="5"/>
      <c r="AY82" s="99"/>
      <c r="AZ82" s="31"/>
      <c r="BA82" s="5"/>
      <c r="BB82" s="27"/>
      <c r="BC82" s="5"/>
      <c r="BD82" s="5"/>
      <c r="BE82" s="27"/>
      <c r="BF82" s="28"/>
    </row>
    <row r="83" spans="2:61" hidden="1" outlineLevel="1" x14ac:dyDescent="0.25">
      <c r="B83" s="37" t="s">
        <v>251</v>
      </c>
      <c r="C83" s="5"/>
      <c r="D83" s="27"/>
      <c r="E83" s="5"/>
      <c r="F83" s="27"/>
      <c r="G83" s="6"/>
      <c r="H83" s="5"/>
      <c r="I83" s="27"/>
      <c r="J83" s="5"/>
      <c r="K83" s="27"/>
      <c r="L83" s="31"/>
      <c r="M83" s="5"/>
      <c r="N83" s="27"/>
      <c r="O83" s="5"/>
      <c r="P83" s="27"/>
      <c r="Q83" s="31"/>
      <c r="R83" s="5"/>
      <c r="S83" s="46" t="s">
        <v>201</v>
      </c>
      <c r="T83" s="5" t="str">
        <f>INDEX('Nike pace chart'!$BO$9:$BO$16,MATCH('Nike training program_10k'!S83,'Nike pace chart'!$BY$9:$BY$16,0))</f>
        <v>05:39</v>
      </c>
      <c r="U83" s="99">
        <f>INDEX('Nike pace chart'!$BV$9:$BV$16,MATCH('Nike training program_10k'!S83,'Nike pace chart'!$BY$9:$BY$16,0))/1000*1</f>
        <v>0.18</v>
      </c>
      <c r="V83" s="31" t="s">
        <v>225</v>
      </c>
      <c r="W83" s="5"/>
      <c r="X83" s="27"/>
      <c r="Y83" s="5"/>
      <c r="Z83" s="27"/>
      <c r="AA83" s="28"/>
      <c r="AB83" s="105"/>
      <c r="AC83" s="5"/>
      <c r="AD83" s="27"/>
      <c r="AE83" s="5"/>
      <c r="AF83" s="5"/>
      <c r="AG83" s="27"/>
      <c r="AH83" s="6"/>
      <c r="AI83" s="5"/>
      <c r="AJ83" s="27"/>
      <c r="AK83" s="5"/>
      <c r="AL83" s="5"/>
      <c r="AM83" s="27"/>
      <c r="AN83" s="31"/>
      <c r="AO83" s="5"/>
      <c r="AP83" s="27"/>
      <c r="AQ83" s="5"/>
      <c r="AR83" s="5"/>
      <c r="AS83" s="27"/>
      <c r="AT83" s="31"/>
      <c r="AU83" s="5"/>
      <c r="AV83" s="27"/>
      <c r="AW83" s="5"/>
      <c r="AX83" s="5"/>
      <c r="AY83" s="99"/>
      <c r="AZ83" s="31"/>
      <c r="BA83" s="5"/>
      <c r="BB83" s="27"/>
      <c r="BC83" s="5"/>
      <c r="BD83" s="5"/>
      <c r="BE83" s="27"/>
      <c r="BF83" s="28"/>
    </row>
    <row r="84" spans="2:61" hidden="1" outlineLevel="1" x14ac:dyDescent="0.25">
      <c r="B84" s="37" t="s">
        <v>251</v>
      </c>
      <c r="C84" s="5"/>
      <c r="D84" s="27"/>
      <c r="E84" s="5"/>
      <c r="F84" s="27"/>
      <c r="G84" s="6"/>
      <c r="H84" s="5"/>
      <c r="I84" s="27"/>
      <c r="J84" s="5"/>
      <c r="K84" s="27"/>
      <c r="L84" s="31"/>
      <c r="M84" s="5"/>
      <c r="N84" s="27"/>
      <c r="O84" s="5"/>
      <c r="P84" s="27"/>
      <c r="Q84" s="31"/>
      <c r="R84" s="5">
        <v>1</v>
      </c>
      <c r="S84" s="51" t="s">
        <v>203</v>
      </c>
      <c r="T84" s="5" t="str">
        <f>INDEX('Nike pace chart'!$BO$9:$BO$16,MATCH('Nike training program_10k'!S84,'Nike pace chart'!$BY$9:$BY$16,0))</f>
        <v>04:13</v>
      </c>
      <c r="U84" s="99">
        <f>INDEX('Nike pace chart'!$BV$9:$BV$16,MATCH('Nike training program_10k'!S84,'Nike pace chart'!$BY$9:$BY$16,0))/1000*0.5</f>
        <v>0.12</v>
      </c>
      <c r="V84" s="31" t="s">
        <v>230</v>
      </c>
      <c r="W84" s="5"/>
      <c r="X84" s="27"/>
      <c r="Y84" s="5"/>
      <c r="Z84" s="27"/>
      <c r="AA84" s="28"/>
      <c r="AB84" s="105"/>
      <c r="AC84" s="5"/>
      <c r="AD84" s="27"/>
      <c r="AE84" s="5"/>
      <c r="AF84" s="5"/>
      <c r="AG84" s="27"/>
      <c r="AH84" s="6"/>
      <c r="AI84" s="5"/>
      <c r="AJ84" s="27"/>
      <c r="AK84" s="5"/>
      <c r="AL84" s="5"/>
      <c r="AM84" s="27"/>
      <c r="AN84" s="31"/>
      <c r="AO84" s="5"/>
      <c r="AP84" s="27"/>
      <c r="AQ84" s="5"/>
      <c r="AR84" s="5"/>
      <c r="AS84" s="27"/>
      <c r="AT84" s="31"/>
      <c r="AU84" s="5"/>
      <c r="AV84" s="27"/>
      <c r="AW84" s="5"/>
      <c r="AX84" s="5"/>
      <c r="AY84" s="99"/>
      <c r="AZ84" s="31"/>
      <c r="BA84" s="5"/>
      <c r="BB84" s="27"/>
      <c r="BC84" s="5"/>
      <c r="BD84" s="5"/>
      <c r="BE84" s="27"/>
      <c r="BF84" s="28"/>
    </row>
    <row r="85" spans="2:61" s="36" customFormat="1" hidden="1" outlineLevel="1" x14ac:dyDescent="0.25">
      <c r="B85" s="38" t="s">
        <v>251</v>
      </c>
      <c r="C85" s="32"/>
      <c r="D85" s="33"/>
      <c r="E85" s="32"/>
      <c r="F85" s="33"/>
      <c r="G85" s="34"/>
      <c r="H85" s="32"/>
      <c r="I85" s="33"/>
      <c r="J85" s="32"/>
      <c r="K85" s="33"/>
      <c r="L85" s="35"/>
      <c r="M85" s="32"/>
      <c r="N85" s="33"/>
      <c r="O85" s="32"/>
      <c r="P85" s="33"/>
      <c r="Q85" s="35"/>
      <c r="R85" s="32"/>
      <c r="S85" s="47" t="s">
        <v>201</v>
      </c>
      <c r="T85" s="32" t="str">
        <f>INDEX('Nike pace chart'!$BO$9:$BO$16,MATCH('Nike training program_10k'!S85,'Nike pace chart'!$BY$9:$BY$16,0))</f>
        <v>05:39</v>
      </c>
      <c r="U85" s="93">
        <f>INDEX('Nike pace chart'!$BV$9:$BV$16,MATCH('Nike training program_10k'!S85,'Nike pace chart'!$BY$9:$BY$16,0))/1000*1</f>
        <v>0.18</v>
      </c>
      <c r="V85" s="35" t="s">
        <v>225</v>
      </c>
      <c r="W85" s="32"/>
      <c r="X85" s="33"/>
      <c r="Y85" s="32"/>
      <c r="Z85" s="33"/>
      <c r="AA85" s="113"/>
      <c r="AB85" s="114"/>
      <c r="AC85" s="32"/>
      <c r="AD85" s="33"/>
      <c r="AE85" s="32"/>
      <c r="AF85" s="32"/>
      <c r="AG85" s="33"/>
      <c r="AH85" s="34"/>
      <c r="AI85" s="32"/>
      <c r="AJ85" s="33"/>
      <c r="AK85" s="32"/>
      <c r="AL85" s="32"/>
      <c r="AM85" s="33"/>
      <c r="AN85" s="35"/>
      <c r="AO85" s="32"/>
      <c r="AP85" s="33"/>
      <c r="AQ85" s="32"/>
      <c r="AR85" s="32"/>
      <c r="AS85" s="33"/>
      <c r="AT85" s="35"/>
      <c r="AU85" s="32"/>
      <c r="AV85" s="33"/>
      <c r="AW85" s="32"/>
      <c r="AX85" s="32"/>
      <c r="AY85" s="93"/>
      <c r="AZ85" s="35"/>
      <c r="BA85" s="32"/>
      <c r="BB85" s="33"/>
      <c r="BC85" s="32"/>
      <c r="BD85" s="32"/>
      <c r="BE85" s="33"/>
      <c r="BF85" s="113"/>
      <c r="BI85" s="95"/>
    </row>
    <row r="86" spans="2:61" collapsed="1" x14ac:dyDescent="0.25">
      <c r="B86" s="11" t="s">
        <v>254</v>
      </c>
      <c r="C86" s="5">
        <v>1</v>
      </c>
      <c r="D86" s="46" t="s">
        <v>201</v>
      </c>
      <c r="E86" s="5" t="str">
        <f>INDEX('Nike pace chart'!$BO$9:$BO$16,MATCH('Nike training program_10k'!D86,'Nike pace chart'!$BY$9:$BY$16,0))</f>
        <v>05:39</v>
      </c>
      <c r="F86" s="27">
        <v>5</v>
      </c>
      <c r="G86" s="31" t="s">
        <v>223</v>
      </c>
      <c r="H86" s="5">
        <v>1</v>
      </c>
      <c r="I86" s="27" t="s">
        <v>255</v>
      </c>
      <c r="J86" s="5" t="s">
        <v>223</v>
      </c>
      <c r="K86" s="27" t="s">
        <v>223</v>
      </c>
      <c r="L86" s="31" t="s">
        <v>227</v>
      </c>
      <c r="M86" s="5">
        <v>1</v>
      </c>
      <c r="N86" s="46" t="s">
        <v>201</v>
      </c>
      <c r="O86" s="5" t="str">
        <f>INDEX('Nike pace chart'!$BO$9:$BO$16,MATCH('Nike training program_10k'!N86,'Nike pace chart'!$BY$9:$BY$16,0))</f>
        <v>05:39</v>
      </c>
      <c r="P86" s="99">
        <f>INDEX('Nike pace chart'!$BV$9:$BV$16,MATCH('Nike training program_10k'!N86,'Nike pace chart'!$BY$9:$BY$16,0))/1000*25</f>
        <v>4.5</v>
      </c>
      <c r="Q86" s="31" t="s">
        <v>226</v>
      </c>
      <c r="R86" s="5">
        <v>1</v>
      </c>
      <c r="S86" s="51" t="s">
        <v>201</v>
      </c>
      <c r="T86" s="5" t="str">
        <f>INDEX('Nike pace chart'!$BO$9:$BO$16,MATCH('Nike training program_10k'!S86,'Nike pace chart'!$BY$9:$BY$16,0))</f>
        <v>05:39</v>
      </c>
      <c r="U86" s="99">
        <v>1.6</v>
      </c>
      <c r="V86" s="31" t="s">
        <v>223</v>
      </c>
      <c r="W86" s="5">
        <v>1</v>
      </c>
      <c r="X86" s="51" t="s">
        <v>241</v>
      </c>
      <c r="Y86" s="5" t="str">
        <f>INDEX('Nike pace chart'!$BO$9:$BO$16,MATCH('Nike training program_10k'!X86,'Nike pace chart'!$BY$9:$BY$16,0))</f>
        <v>04:25</v>
      </c>
      <c r="Z86" s="27">
        <v>10</v>
      </c>
      <c r="AA86" s="28" t="s">
        <v>223</v>
      </c>
      <c r="AB86" s="105"/>
      <c r="AC86" s="5">
        <v>1</v>
      </c>
      <c r="AD86" s="46" t="s">
        <v>201</v>
      </c>
      <c r="AE86" s="84" t="s">
        <v>665</v>
      </c>
      <c r="AF86" s="81">
        <f t="shared" ref="AF86" si="33">3600/(_xlfn.TEXTBEFORE(AE86,":")*60+_xlfn.TEXTAFTER(AE86,":"))</f>
        <v>9.8360655737704921</v>
      </c>
      <c r="AG86" s="27">
        <v>5</v>
      </c>
      <c r="AH86" s="31" t="s">
        <v>223</v>
      </c>
      <c r="AI86" s="5">
        <v>1</v>
      </c>
      <c r="AJ86" s="27" t="s">
        <v>255</v>
      </c>
      <c r="AK86" s="5" t="s">
        <v>223</v>
      </c>
      <c r="AL86" s="5"/>
      <c r="AM86" s="27" t="s">
        <v>223</v>
      </c>
      <c r="AN86" s="31" t="s">
        <v>227</v>
      </c>
      <c r="AO86" s="132">
        <v>1</v>
      </c>
      <c r="AP86" s="133" t="s">
        <v>201</v>
      </c>
      <c r="AQ86" s="134" t="s">
        <v>665</v>
      </c>
      <c r="AR86" s="135">
        <f t="shared" ref="AR86" si="34">3600/(_xlfn.TEXTBEFORE(AQ86,":")*60+_xlfn.TEXTAFTER(AQ86,":"))</f>
        <v>9.8360655737704921</v>
      </c>
      <c r="AS86" s="133">
        <v>4</v>
      </c>
      <c r="AT86" s="136" t="s">
        <v>226</v>
      </c>
      <c r="AU86" s="132">
        <v>1</v>
      </c>
      <c r="AV86" s="133" t="s">
        <v>201</v>
      </c>
      <c r="AW86" s="132" t="str">
        <f>INDEX('Nike pace chart'!$BO$9:$BO$16,MATCH('Nike training program_10k'!AV86,'Nike pace chart'!$BY$9:$BY$16,0))</f>
        <v>05:39</v>
      </c>
      <c r="AX86" s="135">
        <f t="shared" ref="AX86" si="35">3600/(_xlfn.TEXTBEFORE(AW86,":")*60+_xlfn.TEXTAFTER(AW86,":"))</f>
        <v>10.619469026548673</v>
      </c>
      <c r="AY86" s="137">
        <v>1.6</v>
      </c>
      <c r="AZ86" s="136" t="s">
        <v>223</v>
      </c>
      <c r="BA86" s="5">
        <v>1</v>
      </c>
      <c r="BB86" s="45" t="s">
        <v>241</v>
      </c>
      <c r="BC86" s="84">
        <v>3.8194444444444443E-3</v>
      </c>
      <c r="BD86" s="81">
        <f t="shared" ref="BD86:BD95" si="36">3600/(MINUTE(BC86)*60+SECOND(BC86))</f>
        <v>10.909090909090908</v>
      </c>
      <c r="BE86" s="27">
        <v>1</v>
      </c>
      <c r="BF86" s="28" t="s">
        <v>223</v>
      </c>
    </row>
    <row r="87" spans="2:61" x14ac:dyDescent="0.25">
      <c r="B87" s="37" t="s">
        <v>254</v>
      </c>
      <c r="C87" s="5"/>
      <c r="D87" s="27"/>
      <c r="E87" s="5"/>
      <c r="F87" s="27"/>
      <c r="G87" s="6"/>
      <c r="H87" s="5"/>
      <c r="I87" s="46" t="s">
        <v>201</v>
      </c>
      <c r="J87" s="5" t="str">
        <f>INDEX('Nike pace chart'!$BO$9:$BO$16,MATCH('Nike training program_10k'!I87,'Nike pace chart'!$BY$9:$BY$16,0))</f>
        <v>05:39</v>
      </c>
      <c r="K87" s="99">
        <f>INDEX('Nike pace chart'!$BV$9:$BV$16,MATCH('Nike training program_10k'!I87,'Nike pace chart'!$BY$9:$BY$16,0))/1000*5</f>
        <v>0.89999999999999991</v>
      </c>
      <c r="L87" s="31" t="s">
        <v>227</v>
      </c>
      <c r="M87" s="5"/>
      <c r="N87" s="27"/>
      <c r="O87" s="5"/>
      <c r="P87" s="27"/>
      <c r="Q87" s="31"/>
      <c r="R87" s="5"/>
      <c r="S87" s="27"/>
      <c r="T87" s="5"/>
      <c r="U87" s="27"/>
      <c r="V87" s="31"/>
      <c r="W87" s="5"/>
      <c r="X87" s="27"/>
      <c r="Y87" s="5"/>
      <c r="Z87" s="27"/>
      <c r="AA87" s="28"/>
      <c r="AB87" s="105"/>
      <c r="AC87" s="5"/>
      <c r="AD87" s="27"/>
      <c r="AE87" s="84"/>
      <c r="AF87" s="111"/>
      <c r="AG87" s="27"/>
      <c r="AH87" s="6"/>
      <c r="AI87" s="5"/>
      <c r="AJ87" s="46" t="s">
        <v>201</v>
      </c>
      <c r="AK87" s="5" t="str">
        <f>INDEX('Nike pace chart'!$BO$9:$BO$16,MATCH('Nike training program_10k'!AJ87,'Nike pace chart'!$BY$9:$BY$16,0))</f>
        <v>05:39</v>
      </c>
      <c r="AL87" s="81">
        <f t="shared" ref="AL87:AL91" si="37">3600/(_xlfn.TEXTBEFORE(AK87,":")*60+_xlfn.TEXTAFTER(AK87,":"))</f>
        <v>10.619469026548673</v>
      </c>
      <c r="AM87" s="99">
        <f>INDEX('Nike pace chart'!$BV$9:$BV$16,MATCH('Nike training program_10k'!AJ87,'Nike pace chart'!$BY$9:$BY$16,0))/1000*5</f>
        <v>0.89999999999999991</v>
      </c>
      <c r="AN87" s="31" t="s">
        <v>227</v>
      </c>
      <c r="AO87" s="132"/>
      <c r="AP87" s="133"/>
      <c r="AQ87" s="134"/>
      <c r="AR87" s="135"/>
      <c r="AS87" s="133"/>
      <c r="AT87" s="136"/>
      <c r="AU87" s="132"/>
      <c r="AV87" s="133"/>
      <c r="AW87" s="132"/>
      <c r="AX87" s="132"/>
      <c r="AY87" s="133"/>
      <c r="AZ87" s="136"/>
      <c r="BA87" s="5"/>
      <c r="BB87" s="27"/>
      <c r="BC87" s="84">
        <v>3.8194444444444443E-3</v>
      </c>
      <c r="BD87" s="81">
        <f t="shared" si="36"/>
        <v>10.909090909090908</v>
      </c>
      <c r="BE87" s="27">
        <v>1</v>
      </c>
      <c r="BF87" s="28"/>
    </row>
    <row r="88" spans="2:61" x14ac:dyDescent="0.25">
      <c r="B88" s="37" t="s">
        <v>254</v>
      </c>
      <c r="C88" s="5"/>
      <c r="D88" s="27"/>
      <c r="E88" s="5"/>
      <c r="F88" s="27"/>
      <c r="G88" s="6"/>
      <c r="H88" s="5">
        <v>1</v>
      </c>
      <c r="I88" s="48" t="s">
        <v>198</v>
      </c>
      <c r="J88" s="5" t="str">
        <f>INDEX('Nike pace chart'!$BO$9:$BO$16,MATCH('Nike training program_10k'!I88,'Nike pace chart'!$BY$9:$BY$16,0))</f>
        <v>04:46</v>
      </c>
      <c r="K88" s="99">
        <f>INDEX('Nike pace chart'!$BV$9:$BV$16,MATCH('Nike training program_10k'!I88,'Nike pace chart'!$BY$9:$BY$16,0))/1000*4</f>
        <v>0.84</v>
      </c>
      <c r="L88" s="31" t="s">
        <v>256</v>
      </c>
      <c r="M88" s="5"/>
      <c r="N88" s="27"/>
      <c r="O88" s="5"/>
      <c r="P88" s="27"/>
      <c r="Q88" s="31"/>
      <c r="R88" s="5"/>
      <c r="S88" s="27"/>
      <c r="T88" s="5"/>
      <c r="U88" s="27"/>
      <c r="V88" s="31"/>
      <c r="W88" s="5"/>
      <c r="X88" s="27"/>
      <c r="Y88" s="5"/>
      <c r="Z88" s="27"/>
      <c r="AA88" s="28"/>
      <c r="AB88" s="105"/>
      <c r="AC88" s="5"/>
      <c r="AD88" s="27"/>
      <c r="AE88" s="84"/>
      <c r="AF88" s="111"/>
      <c r="AG88" s="27"/>
      <c r="AH88" s="6"/>
      <c r="AI88" s="5">
        <v>1</v>
      </c>
      <c r="AJ88" s="48" t="s">
        <v>198</v>
      </c>
      <c r="AK88" s="5" t="str">
        <f>INDEX('Nike pace chart'!$BO$9:$BO$16,MATCH('Nike training program_10k'!AJ88,'Nike pace chart'!$BY$9:$BY$16,0))</f>
        <v>04:46</v>
      </c>
      <c r="AL88" s="81">
        <f t="shared" si="37"/>
        <v>12.587412587412587</v>
      </c>
      <c r="AM88" s="99">
        <v>0.8</v>
      </c>
      <c r="AN88" s="31" t="s">
        <v>256</v>
      </c>
      <c r="AO88" s="132"/>
      <c r="AP88" s="133"/>
      <c r="AQ88" s="134"/>
      <c r="AR88" s="135"/>
      <c r="AS88" s="133"/>
      <c r="AT88" s="136"/>
      <c r="AU88" s="132"/>
      <c r="AV88" s="133"/>
      <c r="AW88" s="132"/>
      <c r="AX88" s="132"/>
      <c r="AY88" s="133"/>
      <c r="AZ88" s="136"/>
      <c r="BA88" s="5"/>
      <c r="BB88" s="27"/>
      <c r="BC88" s="84">
        <v>3.7037037037037038E-3</v>
      </c>
      <c r="BD88" s="81">
        <f t="shared" si="36"/>
        <v>11.25</v>
      </c>
      <c r="BE88" s="27">
        <v>1</v>
      </c>
      <c r="BF88" s="28"/>
    </row>
    <row r="89" spans="2:61" x14ac:dyDescent="0.25">
      <c r="B89" s="37" t="s">
        <v>254</v>
      </c>
      <c r="C89" s="5"/>
      <c r="D89" s="27"/>
      <c r="E89" s="5"/>
      <c r="F89" s="27"/>
      <c r="G89" s="6"/>
      <c r="H89" s="5">
        <v>1</v>
      </c>
      <c r="I89" s="49" t="s">
        <v>195</v>
      </c>
      <c r="J89" s="5" t="str">
        <f>INDEX('Nike pace chart'!$BO$9:$BO$16,MATCH('Nike training program_10k'!I89,'Nike pace chart'!$BY$9:$BY$16,0))</f>
        <v>04:37</v>
      </c>
      <c r="K89" s="99">
        <f>INDEX('Nike pace chart'!$BV$9:$BV$16,MATCH('Nike training program_10k'!I89,'Nike pace chart'!$BY$9:$BY$16,0))/1000*3</f>
        <v>0.66</v>
      </c>
      <c r="L89" s="31" t="s">
        <v>235</v>
      </c>
      <c r="M89" s="5"/>
      <c r="N89" s="27"/>
      <c r="O89" s="5"/>
      <c r="P89" s="27"/>
      <c r="Q89" s="31"/>
      <c r="R89" s="5"/>
      <c r="S89" s="27"/>
      <c r="T89" s="5"/>
      <c r="U89" s="27"/>
      <c r="V89" s="31"/>
      <c r="W89" s="5"/>
      <c r="X89" s="27"/>
      <c r="Y89" s="5"/>
      <c r="Z89" s="27"/>
      <c r="AA89" s="28"/>
      <c r="AB89" s="105"/>
      <c r="AC89" s="5"/>
      <c r="AD89" s="27"/>
      <c r="AE89" s="84"/>
      <c r="AF89" s="111"/>
      <c r="AG89" s="27"/>
      <c r="AH89" s="6"/>
      <c r="AI89" s="5">
        <v>1</v>
      </c>
      <c r="AJ89" s="49" t="s">
        <v>195</v>
      </c>
      <c r="AK89" s="5" t="str">
        <f>INDEX('Nike pace chart'!$BO$9:$BO$16,MATCH('Nike training program_10k'!AJ89,'Nike pace chart'!$BY$9:$BY$16,0))</f>
        <v>04:37</v>
      </c>
      <c r="AL89" s="81">
        <f t="shared" si="37"/>
        <v>12.996389891696751</v>
      </c>
      <c r="AM89" s="99">
        <v>0.6</v>
      </c>
      <c r="AN89" s="31" t="s">
        <v>235</v>
      </c>
      <c r="AO89" s="132"/>
      <c r="AP89" s="133"/>
      <c r="AQ89" s="134"/>
      <c r="AR89" s="135"/>
      <c r="AS89" s="133"/>
      <c r="AT89" s="136"/>
      <c r="AU89" s="132"/>
      <c r="AV89" s="133"/>
      <c r="AW89" s="132"/>
      <c r="AX89" s="132"/>
      <c r="AY89" s="133"/>
      <c r="AZ89" s="136"/>
      <c r="BA89" s="5"/>
      <c r="BB89" s="27"/>
      <c r="BC89" s="108">
        <v>3.7037037037037038E-3</v>
      </c>
      <c r="BD89" s="81">
        <f t="shared" si="36"/>
        <v>11.25</v>
      </c>
      <c r="BE89" s="27">
        <v>1</v>
      </c>
      <c r="BF89" s="28"/>
    </row>
    <row r="90" spans="2:61" x14ac:dyDescent="0.25">
      <c r="B90" s="37" t="s">
        <v>254</v>
      </c>
      <c r="C90" s="5"/>
      <c r="D90" s="27"/>
      <c r="E90" s="5"/>
      <c r="F90" s="27"/>
      <c r="G90" s="6"/>
      <c r="H90" s="5">
        <v>1</v>
      </c>
      <c r="I90" s="45" t="s">
        <v>241</v>
      </c>
      <c r="J90" s="5" t="str">
        <f>INDEX('Nike pace chart'!$BO$9:$BO$16,MATCH('Nike training program_10k'!I90,'Nike pace chart'!$BY$9:$BY$16,0))</f>
        <v>04:25</v>
      </c>
      <c r="K90" s="99">
        <f>INDEX('Nike pace chart'!$BV$9:$BV$16,MATCH('Nike training program_10k'!I90,'Nike pace chart'!$BY$9:$BY$16,0))/1000*2</f>
        <v>0.46</v>
      </c>
      <c r="L90" s="31" t="s">
        <v>228</v>
      </c>
      <c r="M90" s="5"/>
      <c r="N90" s="27"/>
      <c r="O90" s="5"/>
      <c r="P90" s="27"/>
      <c r="Q90" s="31"/>
      <c r="R90" s="5"/>
      <c r="S90" s="27"/>
      <c r="T90" s="5"/>
      <c r="U90" s="27"/>
      <c r="V90" s="31"/>
      <c r="W90" s="5"/>
      <c r="X90" s="27"/>
      <c r="Y90" s="5"/>
      <c r="Z90" s="27"/>
      <c r="AA90" s="28"/>
      <c r="AB90" s="105"/>
      <c r="AC90" s="5"/>
      <c r="AD90" s="27"/>
      <c r="AE90" s="84"/>
      <c r="AF90" s="111"/>
      <c r="AG90" s="27"/>
      <c r="AH90" s="6"/>
      <c r="AI90" s="5">
        <v>1</v>
      </c>
      <c r="AJ90" s="45" t="s">
        <v>241</v>
      </c>
      <c r="AK90" s="5" t="str">
        <f>INDEX('Nike pace chart'!$BO$9:$BO$16,MATCH('Nike training program_10k'!AJ90,'Nike pace chart'!$BY$9:$BY$16,0))</f>
        <v>04:25</v>
      </c>
      <c r="AL90" s="81">
        <f t="shared" si="37"/>
        <v>13.584905660377359</v>
      </c>
      <c r="AM90" s="99">
        <v>0.45</v>
      </c>
      <c r="AN90" s="31" t="s">
        <v>228</v>
      </c>
      <c r="AO90" s="132"/>
      <c r="AP90" s="133"/>
      <c r="AQ90" s="132"/>
      <c r="AR90" s="132"/>
      <c r="AS90" s="133"/>
      <c r="AT90" s="136"/>
      <c r="AU90" s="132"/>
      <c r="AV90" s="133"/>
      <c r="AW90" s="132"/>
      <c r="AX90" s="132"/>
      <c r="AY90" s="133"/>
      <c r="AZ90" s="136"/>
      <c r="BA90" s="5"/>
      <c r="BB90" s="27"/>
      <c r="BC90" s="84">
        <v>3.5879629629629629E-3</v>
      </c>
      <c r="BD90" s="81">
        <f t="shared" si="36"/>
        <v>11.612903225806452</v>
      </c>
      <c r="BE90" s="27">
        <v>1</v>
      </c>
      <c r="BF90" s="28"/>
    </row>
    <row r="91" spans="2:61" x14ac:dyDescent="0.25">
      <c r="B91" s="37" t="s">
        <v>254</v>
      </c>
      <c r="C91" s="5"/>
      <c r="D91" s="27"/>
      <c r="E91" s="5"/>
      <c r="F91" s="27"/>
      <c r="G91" s="6"/>
      <c r="H91" s="5">
        <v>1</v>
      </c>
      <c r="I91" s="51" t="s">
        <v>203</v>
      </c>
      <c r="J91" s="5" t="str">
        <f>INDEX('Nike pace chart'!$BO$9:$BO$16,MATCH('Nike training program_10k'!I91,'Nike pace chart'!$BY$9:$BY$16,0))</f>
        <v>04:13</v>
      </c>
      <c r="K91" s="99">
        <f>INDEX('Nike pace chart'!$BV$9:$BV$16,MATCH('Nike training program_10k'!I91,'Nike pace chart'!$BY$9:$BY$16,0))/1000*1</f>
        <v>0.24</v>
      </c>
      <c r="L91" s="31" t="s">
        <v>225</v>
      </c>
      <c r="M91" s="5"/>
      <c r="N91" s="27"/>
      <c r="O91" s="5"/>
      <c r="P91" s="27"/>
      <c r="Q91" s="31"/>
      <c r="R91" s="5"/>
      <c r="S91" s="27"/>
      <c r="T91" s="5"/>
      <c r="U91" s="27"/>
      <c r="V91" s="31"/>
      <c r="W91" s="5"/>
      <c r="X91" s="27"/>
      <c r="Y91" s="5"/>
      <c r="Z91" s="27"/>
      <c r="AA91" s="28"/>
      <c r="AB91" s="105"/>
      <c r="AC91" s="5"/>
      <c r="AD91" s="27"/>
      <c r="AE91" s="5"/>
      <c r="AF91" s="5"/>
      <c r="AG91" s="27"/>
      <c r="AH91" s="6"/>
      <c r="AI91" s="5">
        <v>1</v>
      </c>
      <c r="AJ91" s="51" t="s">
        <v>203</v>
      </c>
      <c r="AK91" s="5" t="str">
        <f>INDEX('Nike pace chart'!$BO$9:$BO$16,MATCH('Nike training program_10k'!AJ91,'Nike pace chart'!$BY$9:$BY$16,0))</f>
        <v>04:13</v>
      </c>
      <c r="AL91" s="81">
        <f t="shared" si="37"/>
        <v>14.229249011857707</v>
      </c>
      <c r="AM91" s="99">
        <v>0.25</v>
      </c>
      <c r="AN91" s="31" t="s">
        <v>225</v>
      </c>
      <c r="AO91" s="132"/>
      <c r="AP91" s="133"/>
      <c r="AQ91" s="132"/>
      <c r="AR91" s="132"/>
      <c r="AS91" s="133"/>
      <c r="AT91" s="136"/>
      <c r="AU91" s="132"/>
      <c r="AV91" s="133"/>
      <c r="AW91" s="132"/>
      <c r="AX91" s="132"/>
      <c r="AY91" s="133"/>
      <c r="AZ91" s="136"/>
      <c r="BA91" s="5"/>
      <c r="BB91" s="27"/>
      <c r="BC91" s="84">
        <v>3.5879629629629629E-3</v>
      </c>
      <c r="BD91" s="81">
        <f t="shared" si="36"/>
        <v>11.612903225806452</v>
      </c>
      <c r="BE91" s="27">
        <v>1</v>
      </c>
      <c r="BF91" s="28"/>
    </row>
    <row r="92" spans="2:61" x14ac:dyDescent="0.25">
      <c r="C92" s="5"/>
      <c r="D92" s="27"/>
      <c r="E92" s="5"/>
      <c r="F92" s="27"/>
      <c r="G92" s="6"/>
      <c r="H92" s="5"/>
      <c r="I92" s="27"/>
      <c r="J92" s="5"/>
      <c r="K92" s="27"/>
      <c r="L92" s="31"/>
      <c r="M92" s="5"/>
      <c r="N92" s="27"/>
      <c r="O92" s="5"/>
      <c r="P92" s="27"/>
      <c r="Q92" s="31"/>
      <c r="R92" s="5"/>
      <c r="S92" s="27"/>
      <c r="T92" s="5"/>
      <c r="U92" s="27"/>
      <c r="V92" s="31"/>
      <c r="W92" s="5"/>
      <c r="X92" s="27"/>
      <c r="Y92" s="5"/>
      <c r="Z92" s="27"/>
      <c r="AA92" s="28"/>
      <c r="AB92" s="105"/>
      <c r="AC92" s="5"/>
      <c r="AD92" s="27"/>
      <c r="AE92" s="5"/>
      <c r="AF92" s="5"/>
      <c r="AG92" s="27"/>
      <c r="AH92" s="6"/>
      <c r="AI92" s="5"/>
      <c r="AJ92" s="27"/>
      <c r="AK92" s="5"/>
      <c r="AL92" s="5"/>
      <c r="AM92" s="27"/>
      <c r="AN92" s="31"/>
      <c r="AO92" s="132"/>
      <c r="AP92" s="133"/>
      <c r="AQ92" s="132"/>
      <c r="AR92" s="132"/>
      <c r="AS92" s="133"/>
      <c r="AT92" s="136"/>
      <c r="AU92" s="132"/>
      <c r="AV92" s="133"/>
      <c r="AW92" s="132"/>
      <c r="AX92" s="132"/>
      <c r="AY92" s="133"/>
      <c r="AZ92" s="136"/>
      <c r="BA92" s="5"/>
      <c r="BB92" s="27"/>
      <c r="BC92" s="84">
        <v>3.472222222222222E-3</v>
      </c>
      <c r="BD92" s="81">
        <f t="shared" si="36"/>
        <v>12</v>
      </c>
      <c r="BE92" s="27">
        <v>1</v>
      </c>
      <c r="BF92" s="28"/>
    </row>
    <row r="93" spans="2:61" x14ac:dyDescent="0.25">
      <c r="C93" s="5"/>
      <c r="D93" s="27"/>
      <c r="E93" s="5"/>
      <c r="F93" s="27"/>
      <c r="G93" s="6"/>
      <c r="H93" s="5"/>
      <c r="I93" s="27"/>
      <c r="J93" s="5"/>
      <c r="K93" s="27"/>
      <c r="L93" s="31"/>
      <c r="M93" s="5"/>
      <c r="N93" s="27"/>
      <c r="O93" s="5"/>
      <c r="P93" s="27"/>
      <c r="Q93" s="31"/>
      <c r="R93" s="5"/>
      <c r="S93" s="27"/>
      <c r="T93" s="5"/>
      <c r="U93" s="27"/>
      <c r="V93" s="31"/>
      <c r="W93" s="5"/>
      <c r="X93" s="27"/>
      <c r="Y93" s="5"/>
      <c r="Z93" s="27"/>
      <c r="AA93" s="28"/>
      <c r="AB93" s="105"/>
      <c r="AC93" s="5"/>
      <c r="AD93" s="27"/>
      <c r="AE93" s="5"/>
      <c r="AF93" s="5"/>
      <c r="AG93" s="27"/>
      <c r="AH93" s="6"/>
      <c r="AI93" s="5"/>
      <c r="AJ93" s="27"/>
      <c r="AK93" s="5"/>
      <c r="AL93" s="5"/>
      <c r="AM93" s="27"/>
      <c r="AN93" s="31"/>
      <c r="AO93" s="132"/>
      <c r="AP93" s="133"/>
      <c r="AQ93" s="132"/>
      <c r="AR93" s="132"/>
      <c r="AS93" s="133"/>
      <c r="AT93" s="136"/>
      <c r="AU93" s="132"/>
      <c r="AV93" s="133"/>
      <c r="AW93" s="132"/>
      <c r="AX93" s="132"/>
      <c r="AY93" s="133"/>
      <c r="AZ93" s="136"/>
      <c r="BA93" s="5"/>
      <c r="BB93" s="27"/>
      <c r="BC93" s="84">
        <v>3.472222222222222E-3</v>
      </c>
      <c r="BD93" s="81">
        <f t="shared" si="36"/>
        <v>12</v>
      </c>
      <c r="BE93" s="27">
        <v>1</v>
      </c>
      <c r="BF93" s="28"/>
    </row>
    <row r="94" spans="2:61" x14ac:dyDescent="0.25">
      <c r="C94" s="5"/>
      <c r="D94" s="27"/>
      <c r="E94" s="5"/>
      <c r="F94" s="27"/>
      <c r="G94" s="6"/>
      <c r="H94" s="5"/>
      <c r="I94" s="27"/>
      <c r="J94" s="5"/>
      <c r="K94" s="27"/>
      <c r="L94" s="31"/>
      <c r="M94" s="5"/>
      <c r="N94" s="27"/>
      <c r="O94" s="5"/>
      <c r="P94" s="27"/>
      <c r="Q94" s="31"/>
      <c r="R94" s="5"/>
      <c r="S94" s="27"/>
      <c r="T94" s="5"/>
      <c r="U94" s="27"/>
      <c r="V94" s="31"/>
      <c r="W94" s="5"/>
      <c r="X94" s="27"/>
      <c r="Y94" s="5"/>
      <c r="Z94" s="27"/>
      <c r="AA94" s="28"/>
      <c r="AB94" s="105"/>
      <c r="AC94" s="5"/>
      <c r="AD94" s="27"/>
      <c r="AE94" s="5"/>
      <c r="AF94" s="5"/>
      <c r="AG94" s="27"/>
      <c r="AH94" s="6"/>
      <c r="AI94" s="5"/>
      <c r="AJ94" s="27"/>
      <c r="AK94" s="5"/>
      <c r="AL94" s="5"/>
      <c r="AM94" s="27"/>
      <c r="AN94" s="31"/>
      <c r="AO94" s="132"/>
      <c r="AP94" s="133"/>
      <c r="AQ94" s="132"/>
      <c r="AR94" s="132"/>
      <c r="AS94" s="133"/>
      <c r="AT94" s="136"/>
      <c r="AU94" s="132"/>
      <c r="AV94" s="133"/>
      <c r="AW94" s="132"/>
      <c r="AX94" s="132"/>
      <c r="AY94" s="133"/>
      <c r="AZ94" s="136"/>
      <c r="BA94" s="5"/>
      <c r="BB94" s="27"/>
      <c r="BC94" s="84">
        <v>3.3564814814814816E-3</v>
      </c>
      <c r="BD94" s="81">
        <f t="shared" si="36"/>
        <v>12.413793103448276</v>
      </c>
      <c r="BE94" s="27">
        <v>1</v>
      </c>
      <c r="BF94" s="28"/>
    </row>
    <row r="95" spans="2:61" x14ac:dyDescent="0.25">
      <c r="C95" s="5"/>
      <c r="D95" s="27"/>
      <c r="E95" s="5"/>
      <c r="F95" s="27"/>
      <c r="G95" s="6"/>
      <c r="H95" s="5"/>
      <c r="I95" s="27"/>
      <c r="J95" s="5"/>
      <c r="K95" s="27"/>
      <c r="L95" s="31"/>
      <c r="M95" s="5"/>
      <c r="N95" s="27"/>
      <c r="O95" s="5"/>
      <c r="P95" s="27"/>
      <c r="Q95" s="31"/>
      <c r="R95" s="5"/>
      <c r="S95" s="27"/>
      <c r="T95" s="5"/>
      <c r="U95" s="27"/>
      <c r="V95" s="31"/>
      <c r="W95" s="5"/>
      <c r="X95" s="27"/>
      <c r="Y95" s="5"/>
      <c r="Z95" s="27"/>
      <c r="AA95" s="28"/>
      <c r="AB95" s="105"/>
      <c r="AC95" s="5"/>
      <c r="AD95" s="27"/>
      <c r="AE95" s="5"/>
      <c r="AF95" s="5"/>
      <c r="AG95" s="27"/>
      <c r="AH95" s="6"/>
      <c r="AI95" s="5"/>
      <c r="AJ95" s="27"/>
      <c r="AK95" s="5"/>
      <c r="AL95" s="5"/>
      <c r="AM95" s="27"/>
      <c r="AN95" s="31"/>
      <c r="AO95" s="132"/>
      <c r="AP95" s="133"/>
      <c r="AQ95" s="132"/>
      <c r="AR95" s="132"/>
      <c r="AS95" s="133"/>
      <c r="AT95" s="136"/>
      <c r="AU95" s="132"/>
      <c r="AV95" s="133"/>
      <c r="AW95" s="132"/>
      <c r="AX95" s="132"/>
      <c r="AY95" s="133"/>
      <c r="AZ95" s="136"/>
      <c r="BA95" s="5"/>
      <c r="BB95" s="27"/>
      <c r="BC95" s="84">
        <v>3.3564814814814816E-3</v>
      </c>
      <c r="BD95" s="81">
        <f t="shared" si="36"/>
        <v>12.413793103448276</v>
      </c>
      <c r="BE95" s="27">
        <v>1</v>
      </c>
      <c r="BF95" s="28"/>
    </row>
    <row r="96" spans="2:61" x14ac:dyDescent="0.25">
      <c r="C96" s="5"/>
      <c r="D96" s="27"/>
      <c r="E96" s="5"/>
      <c r="F96" s="27"/>
      <c r="G96" s="6"/>
      <c r="H96" s="5"/>
      <c r="I96" s="27"/>
      <c r="J96" s="5"/>
      <c r="K96" s="27"/>
      <c r="L96" s="31"/>
      <c r="M96" s="5"/>
      <c r="N96" s="27"/>
      <c r="O96" s="5"/>
      <c r="P96" s="27"/>
      <c r="Q96" s="31"/>
      <c r="R96" s="5"/>
      <c r="S96" s="27"/>
      <c r="T96" s="5"/>
      <c r="U96" s="27"/>
      <c r="V96" s="31"/>
      <c r="W96" s="5"/>
      <c r="X96" s="27"/>
      <c r="Y96" s="5"/>
      <c r="Z96" s="27"/>
      <c r="AA96" s="28"/>
      <c r="AB96" s="105"/>
      <c r="AC96" s="5"/>
      <c r="AD96" s="27"/>
      <c r="AE96" s="5"/>
      <c r="AF96" s="5"/>
      <c r="AG96" s="27"/>
      <c r="AH96" s="6"/>
      <c r="AI96" s="5"/>
      <c r="AJ96" s="27"/>
      <c r="AK96" s="5"/>
      <c r="AL96" s="5"/>
      <c r="AM96" s="27"/>
      <c r="AN96" s="31"/>
      <c r="AO96" s="5"/>
      <c r="AP96" s="27"/>
      <c r="AQ96" s="5"/>
      <c r="AR96" s="5"/>
      <c r="AS96" s="27"/>
      <c r="AT96" s="31"/>
      <c r="AU96" s="5"/>
      <c r="AV96" s="27"/>
      <c r="AW96" s="5"/>
      <c r="AX96" s="5"/>
      <c r="AY96" s="27"/>
      <c r="AZ96" s="31"/>
      <c r="BA96" s="5"/>
      <c r="BB96" s="27"/>
      <c r="BC96" s="5"/>
      <c r="BD96" s="5"/>
      <c r="BE96" s="27"/>
      <c r="BF96" s="28"/>
    </row>
    <row r="97" spans="3:58" x14ac:dyDescent="0.25">
      <c r="C97" s="5"/>
      <c r="D97" s="27"/>
      <c r="E97" s="5"/>
      <c r="F97" s="27"/>
      <c r="G97" s="6"/>
      <c r="H97" s="5"/>
      <c r="I97" s="27"/>
      <c r="J97" s="5"/>
      <c r="K97" s="27"/>
      <c r="L97" s="31"/>
      <c r="M97" s="5"/>
      <c r="N97" s="27"/>
      <c r="O97" s="5"/>
      <c r="P97" s="27"/>
      <c r="Q97" s="31"/>
      <c r="R97" s="5"/>
      <c r="S97" s="27"/>
      <c r="T97" s="5"/>
      <c r="U97" s="27"/>
      <c r="V97" s="31"/>
      <c r="W97" s="5"/>
      <c r="X97" s="27"/>
      <c r="Y97" s="5"/>
      <c r="Z97" s="27"/>
      <c r="AA97" s="28"/>
      <c r="AB97" s="105"/>
      <c r="AC97" s="5"/>
      <c r="AD97" s="27"/>
      <c r="AE97" s="5"/>
      <c r="AF97" s="5"/>
      <c r="AG97" s="27"/>
      <c r="AH97" s="6"/>
      <c r="AI97" s="5"/>
      <c r="AJ97" s="27"/>
      <c r="AK97" s="5"/>
      <c r="AL97" s="5"/>
      <c r="AM97" s="27"/>
      <c r="AN97" s="31"/>
      <c r="AO97" s="5"/>
      <c r="AP97" s="27"/>
      <c r="AQ97" s="5"/>
      <c r="AR97" s="5"/>
      <c r="AS97" s="27"/>
      <c r="AT97" s="31"/>
      <c r="AU97" s="5"/>
      <c r="AV97" s="27"/>
      <c r="AW97" s="5"/>
      <c r="AX97" s="5"/>
      <c r="AY97" s="27"/>
      <c r="AZ97" s="31"/>
      <c r="BA97" s="5"/>
      <c r="BB97" s="27"/>
      <c r="BC97" s="5"/>
      <c r="BD97" s="5"/>
      <c r="BE97" s="27"/>
      <c r="BF97" s="28"/>
    </row>
    <row r="98" spans="3:58" x14ac:dyDescent="0.25">
      <c r="C98" s="5"/>
      <c r="D98" s="27"/>
      <c r="E98" s="5"/>
      <c r="F98" s="27"/>
      <c r="G98" s="6"/>
      <c r="H98" s="5"/>
      <c r="I98" s="27"/>
      <c r="J98" s="5"/>
      <c r="K98" s="27"/>
      <c r="L98" s="31"/>
      <c r="M98" s="5"/>
      <c r="N98" s="27"/>
      <c r="O98" s="5"/>
      <c r="P98" s="27"/>
      <c r="Q98" s="31"/>
      <c r="R98" s="5"/>
      <c r="S98" s="27"/>
      <c r="T98" s="5"/>
      <c r="U98" s="27"/>
      <c r="V98" s="31"/>
      <c r="W98" s="5"/>
      <c r="X98" s="27"/>
      <c r="Y98" s="5"/>
      <c r="Z98" s="27"/>
      <c r="AA98" s="28"/>
      <c r="AB98" s="105"/>
      <c r="AC98" s="5"/>
      <c r="AD98" s="27"/>
      <c r="AE98" s="5"/>
      <c r="AF98" s="5"/>
      <c r="AG98" s="27"/>
      <c r="AH98" s="6"/>
      <c r="AI98" s="5"/>
      <c r="AJ98" s="27"/>
      <c r="AK98" s="5"/>
      <c r="AL98" s="5"/>
      <c r="AM98" s="27"/>
      <c r="AN98" s="31"/>
      <c r="AO98" s="5"/>
      <c r="AP98" s="27"/>
      <c r="AQ98" s="5"/>
      <c r="AR98" s="5"/>
      <c r="AS98" s="27"/>
      <c r="AT98" s="31"/>
      <c r="AU98" s="5"/>
      <c r="AV98" s="27"/>
      <c r="AW98" s="5"/>
      <c r="AX98" s="5"/>
      <c r="AY98" s="27"/>
      <c r="AZ98" s="31"/>
      <c r="BA98" s="5"/>
      <c r="BB98" s="27"/>
      <c r="BC98" s="5"/>
      <c r="BD98" s="5"/>
      <c r="BE98" s="27"/>
      <c r="BF98" s="28"/>
    </row>
    <row r="99" spans="3:58" x14ac:dyDescent="0.25">
      <c r="C99" s="5"/>
      <c r="D99" s="27"/>
      <c r="E99" s="5"/>
      <c r="F99" s="27"/>
      <c r="G99" s="6"/>
      <c r="H99" s="5"/>
      <c r="I99" s="27"/>
      <c r="J99" s="5"/>
      <c r="K99" s="27"/>
      <c r="L99" s="31"/>
      <c r="M99" s="5"/>
      <c r="N99" s="27"/>
      <c r="O99" s="5"/>
      <c r="P99" s="27"/>
      <c r="Q99" s="31"/>
      <c r="R99" s="5"/>
      <c r="S99" s="27"/>
      <c r="T99" s="5"/>
      <c r="U99" s="27"/>
      <c r="V99" s="31"/>
      <c r="W99" s="5"/>
      <c r="X99" s="27"/>
      <c r="Y99" s="5"/>
      <c r="Z99" s="27"/>
      <c r="AA99" s="28"/>
      <c r="AB99" s="105"/>
      <c r="AC99" s="5"/>
      <c r="AD99" s="27"/>
      <c r="AE99" s="5"/>
      <c r="AF99" s="5"/>
      <c r="AG99" s="27"/>
      <c r="AH99" s="6"/>
      <c r="AI99" s="5"/>
      <c r="AJ99" s="27"/>
      <c r="AK99" s="5"/>
      <c r="AL99" s="5"/>
      <c r="AM99" s="27"/>
      <c r="AN99" s="31"/>
      <c r="AO99" s="5"/>
      <c r="AP99" s="27"/>
      <c r="AQ99" s="5"/>
      <c r="AR99" s="5"/>
      <c r="AS99" s="27"/>
      <c r="AT99" s="31"/>
      <c r="AU99" s="5"/>
      <c r="AV99" s="27"/>
      <c r="AW99" s="5"/>
      <c r="AX99" s="5"/>
      <c r="AY99" s="27"/>
      <c r="AZ99" s="31"/>
      <c r="BA99" s="5"/>
      <c r="BB99" s="27"/>
      <c r="BC99" s="5"/>
      <c r="BD99" s="5"/>
      <c r="BE99" s="27"/>
      <c r="BF99" s="28"/>
    </row>
    <row r="100" spans="3:58" x14ac:dyDescent="0.25">
      <c r="C100" s="5"/>
      <c r="D100" s="27"/>
      <c r="E100" s="5"/>
      <c r="F100" s="27"/>
      <c r="G100" s="6"/>
      <c r="H100" s="5"/>
      <c r="I100" s="27"/>
      <c r="J100" s="5"/>
      <c r="K100" s="27"/>
      <c r="L100" s="31"/>
      <c r="M100" s="5"/>
      <c r="N100" s="27"/>
      <c r="O100" s="5"/>
      <c r="P100" s="27"/>
      <c r="Q100" s="31"/>
      <c r="R100" s="5"/>
      <c r="S100" s="27"/>
      <c r="T100" s="5"/>
      <c r="U100" s="27"/>
      <c r="V100" s="31"/>
      <c r="W100" s="5"/>
      <c r="X100" s="27"/>
      <c r="Y100" s="5"/>
      <c r="Z100" s="27"/>
      <c r="AA100" s="28"/>
      <c r="AB100" s="105"/>
      <c r="AC100" s="5"/>
      <c r="AD100" s="27"/>
      <c r="AE100" s="5"/>
      <c r="AF100" s="5"/>
      <c r="AG100" s="27"/>
      <c r="AH100" s="6"/>
      <c r="AI100" s="5"/>
      <c r="AJ100" s="27"/>
      <c r="AK100" s="5"/>
      <c r="AL100" s="5"/>
      <c r="AM100" s="27"/>
      <c r="AN100" s="31"/>
      <c r="AO100" s="5"/>
      <c r="AP100" s="27"/>
      <c r="AQ100" s="5"/>
      <c r="AR100" s="5"/>
      <c r="AS100" s="27"/>
      <c r="AT100" s="31"/>
      <c r="AU100" s="5"/>
      <c r="AV100" s="27"/>
      <c r="AW100" s="5"/>
      <c r="AX100" s="5"/>
      <c r="AY100" s="27"/>
      <c r="AZ100" s="31"/>
      <c r="BA100" s="5"/>
      <c r="BB100" s="27"/>
      <c r="BC100" s="5"/>
      <c r="BD100" s="5"/>
      <c r="BE100" s="27"/>
      <c r="BF100" s="28"/>
    </row>
    <row r="101" spans="3:58" x14ac:dyDescent="0.25">
      <c r="C101" s="5"/>
      <c r="D101" s="27"/>
      <c r="E101" s="5"/>
      <c r="F101" s="27"/>
      <c r="G101" s="6"/>
      <c r="H101" s="5"/>
      <c r="I101" s="27"/>
      <c r="J101" s="5"/>
      <c r="K101" s="27"/>
      <c r="L101" s="31"/>
      <c r="M101" s="5"/>
      <c r="N101" s="27"/>
      <c r="O101" s="5"/>
      <c r="P101" s="27"/>
      <c r="Q101" s="31"/>
      <c r="R101" s="5"/>
      <c r="S101" s="27"/>
      <c r="T101" s="5"/>
      <c r="U101" s="27"/>
      <c r="V101" s="31"/>
      <c r="W101" s="5"/>
      <c r="X101" s="27"/>
      <c r="Y101" s="5"/>
      <c r="Z101" s="27"/>
      <c r="AA101" s="28"/>
      <c r="AB101" s="105"/>
      <c r="AC101" s="5"/>
      <c r="AD101" s="27"/>
      <c r="AE101" s="5"/>
      <c r="AF101" s="5"/>
      <c r="AG101" s="27"/>
      <c r="AH101" s="6"/>
      <c r="AI101" s="5"/>
      <c r="AJ101" s="27"/>
      <c r="AK101" s="5"/>
      <c r="AL101" s="5"/>
      <c r="AM101" s="27"/>
      <c r="AN101" s="31"/>
      <c r="AO101" s="5"/>
      <c r="AP101" s="27"/>
      <c r="AQ101" s="5"/>
      <c r="AR101" s="5"/>
      <c r="AS101" s="27"/>
      <c r="AT101" s="31"/>
      <c r="AU101" s="5"/>
      <c r="AV101" s="27"/>
      <c r="AW101" s="5"/>
      <c r="AX101" s="5"/>
      <c r="AY101" s="27"/>
      <c r="AZ101" s="31"/>
      <c r="BA101" s="5"/>
      <c r="BB101" s="27"/>
      <c r="BC101" s="5"/>
      <c r="BD101" s="5"/>
      <c r="BE101" s="27"/>
      <c r="BF101" s="28"/>
    </row>
    <row r="102" spans="3:58" x14ac:dyDescent="0.25">
      <c r="C102" s="5"/>
      <c r="D102" s="27"/>
      <c r="E102" s="5"/>
      <c r="F102" s="27"/>
      <c r="G102" s="6"/>
      <c r="H102" s="5"/>
      <c r="I102" s="27"/>
      <c r="J102" s="5"/>
      <c r="K102" s="27"/>
      <c r="L102" s="31"/>
      <c r="M102" s="5"/>
      <c r="N102" s="27"/>
      <c r="O102" s="5"/>
      <c r="P102" s="27"/>
      <c r="Q102" s="31"/>
      <c r="R102" s="5"/>
      <c r="S102" s="27"/>
      <c r="T102" s="5"/>
      <c r="U102" s="27"/>
      <c r="V102" s="31"/>
      <c r="W102" s="5"/>
      <c r="X102" s="27"/>
      <c r="Y102" s="5"/>
      <c r="Z102" s="27"/>
      <c r="AA102" s="28"/>
      <c r="AB102" s="105"/>
      <c r="AC102" s="5"/>
      <c r="AD102" s="27"/>
      <c r="AE102" s="5"/>
      <c r="AF102" s="5"/>
      <c r="AG102" s="27"/>
      <c r="AH102" s="6"/>
      <c r="AI102" s="5"/>
      <c r="AJ102" s="27"/>
      <c r="AK102" s="5"/>
      <c r="AL102" s="5"/>
      <c r="AM102" s="27"/>
      <c r="AN102" s="31"/>
      <c r="AO102" s="5"/>
      <c r="AP102" s="27"/>
      <c r="AQ102" s="5"/>
      <c r="AR102" s="5"/>
      <c r="AS102" s="27"/>
      <c r="AT102" s="31"/>
      <c r="AU102" s="5"/>
      <c r="AV102" s="27"/>
      <c r="AW102" s="5"/>
      <c r="AX102" s="5"/>
      <c r="AY102" s="27"/>
      <c r="AZ102" s="31"/>
      <c r="BA102" s="5"/>
      <c r="BB102" s="27"/>
      <c r="BC102" s="5"/>
      <c r="BD102" s="5"/>
      <c r="BE102" s="27"/>
      <c r="BF102" s="28"/>
    </row>
    <row r="103" spans="3:58" x14ac:dyDescent="0.25">
      <c r="C103" s="5"/>
      <c r="D103" s="27"/>
      <c r="E103" s="5"/>
      <c r="F103" s="27"/>
      <c r="G103" s="6"/>
      <c r="H103" s="5"/>
      <c r="I103" s="27"/>
      <c r="J103" s="5"/>
      <c r="K103" s="27"/>
      <c r="L103" s="31"/>
      <c r="M103" s="5"/>
      <c r="N103" s="27"/>
      <c r="O103" s="5"/>
      <c r="P103" s="27"/>
      <c r="Q103" s="31"/>
      <c r="R103" s="5"/>
      <c r="S103" s="27"/>
      <c r="T103" s="5"/>
      <c r="U103" s="27"/>
      <c r="V103" s="31"/>
      <c r="W103" s="5"/>
      <c r="X103" s="27"/>
      <c r="Y103" s="5"/>
      <c r="Z103" s="27"/>
      <c r="AA103" s="28"/>
      <c r="AB103" s="105"/>
      <c r="AC103" s="5"/>
      <c r="AD103" s="27"/>
      <c r="AE103" s="5"/>
      <c r="AF103" s="5"/>
      <c r="AG103" s="27"/>
      <c r="AH103" s="6"/>
      <c r="AI103" s="5"/>
      <c r="AJ103" s="27"/>
      <c r="AK103" s="5"/>
      <c r="AL103" s="5"/>
      <c r="AM103" s="27"/>
      <c r="AN103" s="31"/>
      <c r="AO103" s="5"/>
      <c r="AP103" s="27"/>
      <c r="AQ103" s="5"/>
      <c r="AR103" s="5"/>
      <c r="AS103" s="27"/>
      <c r="AT103" s="31"/>
      <c r="AU103" s="5"/>
      <c r="AV103" s="27"/>
      <c r="AW103" s="5"/>
      <c r="AX103" s="5"/>
      <c r="AY103" s="27"/>
      <c r="AZ103" s="31"/>
      <c r="BA103" s="5"/>
      <c r="BB103" s="27"/>
      <c r="BC103" s="5"/>
      <c r="BD103" s="5"/>
      <c r="BE103" s="27"/>
      <c r="BF103" s="28"/>
    </row>
    <row r="104" spans="3:58" x14ac:dyDescent="0.25">
      <c r="C104" s="5"/>
      <c r="D104" s="27"/>
      <c r="E104" s="5"/>
      <c r="F104" s="27"/>
      <c r="G104" s="6"/>
      <c r="H104" s="5"/>
      <c r="I104" s="27"/>
      <c r="J104" s="5"/>
      <c r="K104" s="27"/>
      <c r="L104" s="31"/>
      <c r="M104" s="5"/>
      <c r="N104" s="27"/>
      <c r="O104" s="5"/>
      <c r="P104" s="27"/>
      <c r="Q104" s="31"/>
      <c r="R104" s="5"/>
      <c r="S104" s="27"/>
      <c r="T104" s="5"/>
      <c r="U104" s="27"/>
      <c r="V104" s="31"/>
      <c r="W104" s="5"/>
      <c r="X104" s="27"/>
      <c r="Y104" s="5"/>
      <c r="Z104" s="27"/>
      <c r="AA104" s="28"/>
      <c r="AB104" s="105"/>
      <c r="AC104" s="5"/>
      <c r="AD104" s="27"/>
      <c r="AE104" s="5"/>
      <c r="AF104" s="5"/>
      <c r="AG104" s="27"/>
      <c r="AH104" s="6"/>
      <c r="AI104" s="5"/>
      <c r="AJ104" s="27"/>
      <c r="AK104" s="5"/>
      <c r="AL104" s="5"/>
      <c r="AM104" s="27"/>
      <c r="AN104" s="31"/>
      <c r="AO104" s="5"/>
      <c r="AP104" s="27"/>
      <c r="AQ104" s="5"/>
      <c r="AR104" s="5"/>
      <c r="AS104" s="27"/>
      <c r="AT104" s="31"/>
      <c r="AU104" s="5"/>
      <c r="AV104" s="27"/>
      <c r="AW104" s="5"/>
      <c r="AX104" s="5"/>
      <c r="AY104" s="27"/>
      <c r="AZ104" s="31"/>
      <c r="BA104" s="5"/>
      <c r="BB104" s="27"/>
      <c r="BC104" s="5"/>
      <c r="BD104" s="5"/>
      <c r="BE104" s="27"/>
      <c r="BF104" s="28"/>
    </row>
    <row r="105" spans="3:58" x14ac:dyDescent="0.25">
      <c r="C105" s="5"/>
      <c r="D105" s="27"/>
      <c r="E105" s="5"/>
      <c r="F105" s="27"/>
      <c r="G105" s="6"/>
      <c r="H105" s="5"/>
      <c r="I105" s="27"/>
      <c r="J105" s="5"/>
      <c r="K105" s="27"/>
      <c r="L105" s="31"/>
      <c r="M105" s="5"/>
      <c r="N105" s="27"/>
      <c r="O105" s="5"/>
      <c r="P105" s="27"/>
      <c r="Q105" s="31"/>
      <c r="R105" s="5"/>
      <c r="S105" s="27"/>
      <c r="T105" s="5"/>
      <c r="U105" s="27"/>
      <c r="V105" s="31"/>
      <c r="W105" s="5"/>
      <c r="X105" s="27"/>
      <c r="Y105" s="5"/>
      <c r="Z105" s="27"/>
      <c r="AA105" s="28"/>
      <c r="AB105" s="105"/>
      <c r="AC105" s="5"/>
      <c r="AD105" s="27"/>
      <c r="AE105" s="5"/>
      <c r="AF105" s="5"/>
      <c r="AG105" s="27"/>
      <c r="AH105" s="6"/>
      <c r="AI105" s="5"/>
      <c r="AJ105" s="27"/>
      <c r="AK105" s="5"/>
      <c r="AL105" s="5"/>
      <c r="AM105" s="27"/>
      <c r="AN105" s="31"/>
      <c r="AO105" s="5"/>
      <c r="AP105" s="27"/>
      <c r="AQ105" s="5"/>
      <c r="AR105" s="5"/>
      <c r="AS105" s="27"/>
      <c r="AT105" s="31"/>
      <c r="AU105" s="5"/>
      <c r="AV105" s="27"/>
      <c r="AW105" s="5"/>
      <c r="AX105" s="5"/>
      <c r="AY105" s="27"/>
      <c r="AZ105" s="31"/>
      <c r="BA105" s="5"/>
      <c r="BB105" s="27"/>
      <c r="BC105" s="5"/>
      <c r="BD105" s="5"/>
      <c r="BE105" s="27"/>
      <c r="BF105" s="28"/>
    </row>
    <row r="106" spans="3:58" x14ac:dyDescent="0.25">
      <c r="C106" s="5"/>
      <c r="D106" s="27"/>
      <c r="E106" s="5"/>
      <c r="F106" s="27"/>
      <c r="G106" s="6"/>
      <c r="H106" s="5"/>
      <c r="I106" s="27"/>
      <c r="J106" s="5"/>
      <c r="K106" s="27"/>
      <c r="L106" s="31"/>
      <c r="M106" s="5"/>
      <c r="N106" s="27"/>
      <c r="O106" s="5"/>
      <c r="P106" s="27"/>
      <c r="Q106" s="31"/>
      <c r="R106" s="5"/>
      <c r="S106" s="27"/>
      <c r="T106" s="5"/>
      <c r="U106" s="27"/>
      <c r="V106" s="31"/>
      <c r="W106" s="5"/>
      <c r="X106" s="27"/>
      <c r="Y106" s="5"/>
      <c r="Z106" s="27"/>
      <c r="AA106" s="28"/>
      <c r="AB106" s="105"/>
      <c r="AC106" s="5"/>
      <c r="AD106" s="27"/>
      <c r="AE106" s="5"/>
      <c r="AF106" s="5"/>
      <c r="AG106" s="27"/>
      <c r="AH106" s="6"/>
      <c r="AI106" s="5"/>
      <c r="AJ106" s="27"/>
      <c r="AK106" s="5"/>
      <c r="AL106" s="5"/>
      <c r="AM106" s="27"/>
      <c r="AN106" s="31"/>
      <c r="AO106" s="5"/>
      <c r="AP106" s="27"/>
      <c r="AQ106" s="5"/>
      <c r="AR106" s="5"/>
      <c r="AS106" s="27"/>
      <c r="AT106" s="31"/>
      <c r="AU106" s="5"/>
      <c r="AV106" s="27"/>
      <c r="AW106" s="5"/>
      <c r="AX106" s="5"/>
      <c r="AY106" s="27"/>
      <c r="AZ106" s="31"/>
      <c r="BA106" s="5"/>
      <c r="BB106" s="27"/>
      <c r="BC106" s="5"/>
      <c r="BD106" s="5"/>
      <c r="BE106" s="27"/>
      <c r="BF106" s="28"/>
    </row>
    <row r="107" spans="3:58" x14ac:dyDescent="0.25">
      <c r="C107" s="5"/>
      <c r="D107" s="27"/>
      <c r="E107" s="5"/>
      <c r="F107" s="27"/>
      <c r="G107" s="6"/>
      <c r="H107" s="5"/>
      <c r="I107" s="27"/>
      <c r="J107" s="5"/>
      <c r="K107" s="27"/>
      <c r="L107" s="31"/>
      <c r="M107" s="5"/>
      <c r="N107" s="27"/>
      <c r="O107" s="5"/>
      <c r="P107" s="27"/>
      <c r="Q107" s="31"/>
      <c r="R107" s="5"/>
      <c r="S107" s="27"/>
      <c r="T107" s="5"/>
      <c r="U107" s="27"/>
      <c r="V107" s="31"/>
      <c r="W107" s="5"/>
      <c r="X107" s="27"/>
      <c r="Y107" s="5"/>
      <c r="Z107" s="27"/>
      <c r="AA107" s="28"/>
      <c r="AB107" s="105"/>
      <c r="AC107" s="5"/>
      <c r="AD107" s="27"/>
      <c r="AE107" s="5"/>
      <c r="AF107" s="5"/>
      <c r="AG107" s="27"/>
      <c r="AH107" s="6"/>
      <c r="AI107" s="5"/>
      <c r="AJ107" s="27"/>
      <c r="AK107" s="5"/>
      <c r="AL107" s="5"/>
      <c r="AM107" s="27"/>
      <c r="AN107" s="31"/>
      <c r="AO107" s="5"/>
      <c r="AP107" s="27"/>
      <c r="AQ107" s="5"/>
      <c r="AR107" s="5"/>
      <c r="AS107" s="27"/>
      <c r="AT107" s="31"/>
      <c r="AU107" s="5"/>
      <c r="AV107" s="27"/>
      <c r="AW107" s="5"/>
      <c r="AX107" s="5"/>
      <c r="AY107" s="27"/>
      <c r="AZ107" s="31"/>
      <c r="BA107" s="5"/>
      <c r="BB107" s="27"/>
      <c r="BC107" s="5"/>
      <c r="BD107" s="5"/>
      <c r="BE107" s="27"/>
      <c r="BF107" s="28"/>
    </row>
    <row r="108" spans="3:58" x14ac:dyDescent="0.25">
      <c r="C108" s="5"/>
      <c r="D108" s="27"/>
      <c r="E108" s="5"/>
      <c r="F108" s="27"/>
      <c r="G108" s="6"/>
      <c r="H108" s="5"/>
      <c r="I108" s="27"/>
      <c r="J108" s="5"/>
      <c r="K108" s="27"/>
      <c r="L108" s="31"/>
      <c r="M108" s="5"/>
      <c r="N108" s="27"/>
      <c r="O108" s="5"/>
      <c r="P108" s="27"/>
      <c r="Q108" s="31"/>
      <c r="R108" s="5"/>
      <c r="S108" s="27"/>
      <c r="T108" s="5"/>
      <c r="U108" s="27"/>
      <c r="V108" s="31"/>
      <c r="W108" s="5"/>
      <c r="X108" s="27"/>
      <c r="Y108" s="5"/>
      <c r="Z108" s="27"/>
      <c r="AA108" s="28"/>
      <c r="AB108" s="105"/>
      <c r="AC108" s="5"/>
      <c r="AD108" s="27"/>
      <c r="AE108" s="5"/>
      <c r="AF108" s="5"/>
      <c r="AG108" s="27"/>
      <c r="AH108" s="6"/>
      <c r="AI108" s="5"/>
      <c r="AJ108" s="27"/>
      <c r="AK108" s="5"/>
      <c r="AL108" s="5"/>
      <c r="AM108" s="27"/>
      <c r="AN108" s="31"/>
      <c r="AO108" s="5"/>
      <c r="AP108" s="27"/>
      <c r="AQ108" s="5"/>
      <c r="AR108" s="5"/>
      <c r="AS108" s="27"/>
      <c r="AT108" s="31"/>
      <c r="AU108" s="5"/>
      <c r="AV108" s="27"/>
      <c r="AW108" s="5"/>
      <c r="AX108" s="5"/>
      <c r="AY108" s="27"/>
      <c r="AZ108" s="31"/>
      <c r="BA108" s="5"/>
      <c r="BB108" s="27"/>
      <c r="BC108" s="5"/>
      <c r="BD108" s="5"/>
      <c r="BE108" s="27"/>
      <c r="BF108" s="28"/>
    </row>
    <row r="109" spans="3:58" x14ac:dyDescent="0.25">
      <c r="C109" s="5"/>
      <c r="D109" s="27"/>
      <c r="E109" s="5"/>
      <c r="F109" s="27"/>
      <c r="G109" s="6"/>
      <c r="H109" s="5"/>
      <c r="I109" s="27"/>
      <c r="J109" s="5"/>
      <c r="K109" s="27"/>
      <c r="L109" s="31"/>
      <c r="M109" s="5"/>
      <c r="N109" s="27"/>
      <c r="O109" s="5"/>
      <c r="P109" s="27"/>
      <c r="Q109" s="31"/>
      <c r="R109" s="5"/>
      <c r="S109" s="27"/>
      <c r="T109" s="5"/>
      <c r="U109" s="27"/>
      <c r="V109" s="31"/>
      <c r="W109" s="5"/>
      <c r="X109" s="27"/>
      <c r="Y109" s="5"/>
      <c r="Z109" s="27"/>
      <c r="AA109" s="28"/>
      <c r="AB109" s="105"/>
      <c r="AC109" s="5"/>
      <c r="AD109" s="27"/>
      <c r="AE109" s="5"/>
      <c r="AF109" s="5"/>
      <c r="AG109" s="27"/>
      <c r="AH109" s="6"/>
      <c r="AI109" s="5"/>
      <c r="AJ109" s="27"/>
      <c r="AK109" s="5"/>
      <c r="AL109" s="5"/>
      <c r="AM109" s="27"/>
      <c r="AN109" s="31"/>
      <c r="AO109" s="5"/>
      <c r="AP109" s="27"/>
      <c r="AQ109" s="5"/>
      <c r="AR109" s="5"/>
      <c r="AS109" s="27"/>
      <c r="AT109" s="31"/>
      <c r="AU109" s="5"/>
      <c r="AV109" s="27"/>
      <c r="AW109" s="5"/>
      <c r="AX109" s="5"/>
      <c r="AY109" s="27"/>
      <c r="AZ109" s="31"/>
      <c r="BA109" s="5"/>
      <c r="BB109" s="27"/>
      <c r="BC109" s="5"/>
      <c r="BD109" s="5"/>
      <c r="BE109" s="27"/>
      <c r="BF109" s="28"/>
    </row>
    <row r="110" spans="3:58" x14ac:dyDescent="0.25">
      <c r="C110" s="5"/>
      <c r="D110" s="27"/>
      <c r="E110" s="5"/>
      <c r="F110" s="27"/>
      <c r="G110" s="6"/>
      <c r="H110" s="5"/>
      <c r="I110" s="27"/>
      <c r="J110" s="5"/>
      <c r="K110" s="27"/>
      <c r="L110" s="31"/>
      <c r="M110" s="5"/>
      <c r="N110" s="27"/>
      <c r="O110" s="5"/>
      <c r="P110" s="27"/>
      <c r="Q110" s="31"/>
      <c r="R110" s="5"/>
      <c r="S110" s="27"/>
      <c r="T110" s="5"/>
      <c r="U110" s="27"/>
      <c r="V110" s="31"/>
      <c r="W110" s="5"/>
      <c r="X110" s="27"/>
      <c r="Y110" s="5"/>
      <c r="Z110" s="27"/>
      <c r="AA110" s="28"/>
      <c r="AB110" s="105"/>
      <c r="AC110" s="5"/>
      <c r="AD110" s="27"/>
      <c r="AE110" s="5"/>
      <c r="AF110" s="5"/>
      <c r="AG110" s="27"/>
      <c r="AH110" s="6"/>
      <c r="AI110" s="5"/>
      <c r="AJ110" s="27"/>
      <c r="AK110" s="5"/>
      <c r="AL110" s="5"/>
      <c r="AM110" s="27"/>
      <c r="AN110" s="31"/>
      <c r="AO110" s="5"/>
      <c r="AP110" s="27"/>
      <c r="AQ110" s="5"/>
      <c r="AR110" s="5"/>
      <c r="AS110" s="27"/>
      <c r="AT110" s="31"/>
      <c r="AU110" s="5"/>
      <c r="AV110" s="27"/>
      <c r="AW110" s="5"/>
      <c r="AX110" s="5"/>
      <c r="AY110" s="27"/>
      <c r="AZ110" s="31"/>
      <c r="BA110" s="5"/>
      <c r="BB110" s="27"/>
      <c r="BC110" s="5"/>
      <c r="BD110" s="5"/>
      <c r="BE110" s="27"/>
      <c r="BF110" s="28"/>
    </row>
    <row r="111" spans="3:58" x14ac:dyDescent="0.25">
      <c r="C111" s="5"/>
      <c r="D111" s="27"/>
      <c r="E111" s="5"/>
      <c r="F111" s="27"/>
      <c r="G111" s="6"/>
      <c r="H111" s="5"/>
      <c r="I111" s="27"/>
      <c r="J111" s="5"/>
      <c r="K111" s="27"/>
      <c r="L111" s="31"/>
      <c r="M111" s="5"/>
      <c r="N111" s="27"/>
      <c r="O111" s="5"/>
      <c r="P111" s="27"/>
      <c r="Q111" s="31"/>
      <c r="R111" s="5"/>
      <c r="S111" s="27"/>
      <c r="T111" s="5"/>
      <c r="U111" s="27"/>
      <c r="V111" s="31"/>
      <c r="W111" s="5"/>
      <c r="X111" s="27"/>
      <c r="Y111" s="5"/>
      <c r="Z111" s="27"/>
      <c r="AA111" s="28"/>
      <c r="AB111" s="105"/>
      <c r="AC111" s="5"/>
      <c r="AD111" s="27"/>
      <c r="AE111" s="5"/>
      <c r="AF111" s="5"/>
      <c r="AG111" s="27"/>
      <c r="AH111" s="6"/>
      <c r="AI111" s="5"/>
      <c r="AJ111" s="27"/>
      <c r="AK111" s="5"/>
      <c r="AL111" s="5"/>
      <c r="AM111" s="27"/>
      <c r="AN111" s="31"/>
      <c r="AO111" s="5"/>
      <c r="AP111" s="27"/>
      <c r="AQ111" s="5"/>
      <c r="AR111" s="5"/>
      <c r="AS111" s="27"/>
      <c r="AT111" s="31"/>
      <c r="AU111" s="5"/>
      <c r="AV111" s="27"/>
      <c r="AW111" s="5"/>
      <c r="AX111" s="5"/>
      <c r="AY111" s="27"/>
      <c r="AZ111" s="31"/>
      <c r="BA111" s="5"/>
      <c r="BB111" s="27"/>
      <c r="BC111" s="5"/>
      <c r="BD111" s="5"/>
      <c r="BE111" s="27"/>
      <c r="BF111" s="28"/>
    </row>
    <row r="112" spans="3:58" x14ac:dyDescent="0.25">
      <c r="C112" s="5"/>
      <c r="D112" s="27"/>
      <c r="E112" s="5"/>
      <c r="F112" s="27"/>
      <c r="G112" s="6"/>
      <c r="H112" s="5"/>
      <c r="I112" s="27"/>
      <c r="J112" s="5"/>
      <c r="K112" s="27"/>
      <c r="L112" s="31"/>
      <c r="M112" s="5"/>
      <c r="N112" s="27"/>
      <c r="O112" s="5"/>
      <c r="P112" s="27"/>
      <c r="Q112" s="31"/>
      <c r="R112" s="5"/>
      <c r="S112" s="27"/>
      <c r="T112" s="5"/>
      <c r="U112" s="27"/>
      <c r="V112" s="31"/>
      <c r="W112" s="5"/>
      <c r="X112" s="27"/>
      <c r="Y112" s="5"/>
      <c r="Z112" s="27"/>
      <c r="AA112" s="28"/>
      <c r="AB112" s="105"/>
      <c r="AC112" s="5"/>
      <c r="AD112" s="27"/>
      <c r="AE112" s="5"/>
      <c r="AF112" s="5"/>
      <c r="AG112" s="27"/>
      <c r="AH112" s="6"/>
      <c r="AI112" s="5"/>
      <c r="AJ112" s="27"/>
      <c r="AK112" s="5"/>
      <c r="AL112" s="5"/>
      <c r="AM112" s="27"/>
      <c r="AN112" s="31"/>
      <c r="AO112" s="5"/>
      <c r="AP112" s="27"/>
      <c r="AQ112" s="5"/>
      <c r="AR112" s="5"/>
      <c r="AS112" s="27"/>
      <c r="AT112" s="31"/>
      <c r="AU112" s="5"/>
      <c r="AV112" s="27"/>
      <c r="AW112" s="5"/>
      <c r="AX112" s="5"/>
      <c r="AY112" s="27"/>
      <c r="AZ112" s="31"/>
      <c r="BA112" s="5"/>
      <c r="BB112" s="27"/>
      <c r="BC112" s="5"/>
      <c r="BD112" s="5"/>
      <c r="BE112" s="27"/>
      <c r="BF112" s="28"/>
    </row>
    <row r="113" spans="3:58" x14ac:dyDescent="0.25">
      <c r="C113" s="5"/>
      <c r="D113" s="27"/>
      <c r="E113" s="5"/>
      <c r="F113" s="27"/>
      <c r="G113" s="6"/>
      <c r="H113" s="5"/>
      <c r="I113" s="27"/>
      <c r="J113" s="5"/>
      <c r="K113" s="27"/>
      <c r="L113" s="31"/>
      <c r="M113" s="5"/>
      <c r="N113" s="27"/>
      <c r="O113" s="5"/>
      <c r="P113" s="27"/>
      <c r="Q113" s="31"/>
      <c r="R113" s="5"/>
      <c r="S113" s="27"/>
      <c r="T113" s="5"/>
      <c r="U113" s="27"/>
      <c r="V113" s="31"/>
      <c r="W113" s="5"/>
      <c r="X113" s="27"/>
      <c r="Y113" s="5"/>
      <c r="Z113" s="27"/>
      <c r="AA113" s="28"/>
      <c r="AB113" s="105"/>
      <c r="AC113" s="5"/>
      <c r="AD113" s="27"/>
      <c r="AE113" s="5"/>
      <c r="AF113" s="5"/>
      <c r="AG113" s="27"/>
      <c r="AH113" s="6"/>
      <c r="AI113" s="5"/>
      <c r="AJ113" s="27"/>
      <c r="AK113" s="5"/>
      <c r="AL113" s="5"/>
      <c r="AM113" s="27"/>
      <c r="AN113" s="31"/>
      <c r="AO113" s="5"/>
      <c r="AP113" s="27"/>
      <c r="AQ113" s="5"/>
      <c r="AR113" s="5"/>
      <c r="AS113" s="27"/>
      <c r="AT113" s="31"/>
      <c r="AU113" s="5"/>
      <c r="AV113" s="27"/>
      <c r="AW113" s="5"/>
      <c r="AX113" s="5"/>
      <c r="AY113" s="27"/>
      <c r="AZ113" s="31"/>
      <c r="BA113" s="5"/>
      <c r="BB113" s="27"/>
      <c r="BC113" s="5"/>
      <c r="BD113" s="5"/>
      <c r="BE113" s="27"/>
      <c r="BF113" s="28"/>
    </row>
    <row r="114" spans="3:58" x14ac:dyDescent="0.25">
      <c r="C114" s="5"/>
      <c r="D114" s="27"/>
      <c r="E114" s="5"/>
      <c r="F114" s="27"/>
      <c r="G114" s="6"/>
      <c r="H114" s="5"/>
      <c r="I114" s="27"/>
      <c r="J114" s="5"/>
      <c r="K114" s="27"/>
      <c r="L114" s="31"/>
      <c r="M114" s="5"/>
      <c r="N114" s="27"/>
      <c r="O114" s="5"/>
      <c r="P114" s="27"/>
      <c r="Q114" s="31"/>
      <c r="R114" s="5"/>
      <c r="S114" s="27"/>
      <c r="T114" s="5"/>
      <c r="U114" s="27"/>
      <c r="V114" s="31"/>
      <c r="W114" s="5"/>
      <c r="X114" s="27"/>
      <c r="Y114" s="5"/>
      <c r="Z114" s="27"/>
      <c r="AA114" s="28"/>
      <c r="AB114" s="105"/>
      <c r="AC114" s="5"/>
      <c r="AD114" s="27"/>
      <c r="AE114" s="5"/>
      <c r="AF114" s="5"/>
      <c r="AG114" s="27"/>
      <c r="AH114" s="6"/>
      <c r="AI114" s="5"/>
      <c r="AJ114" s="27"/>
      <c r="AK114" s="5"/>
      <c r="AL114" s="5"/>
      <c r="AM114" s="27"/>
      <c r="AN114" s="31"/>
      <c r="AO114" s="5"/>
      <c r="AP114" s="27"/>
      <c r="AQ114" s="5"/>
      <c r="AR114" s="5"/>
      <c r="AS114" s="27"/>
      <c r="AT114" s="31"/>
      <c r="AU114" s="5"/>
      <c r="AV114" s="27"/>
      <c r="AW114" s="5"/>
      <c r="AX114" s="5"/>
      <c r="AY114" s="27"/>
      <c r="AZ114" s="31"/>
      <c r="BA114" s="5"/>
      <c r="BB114" s="27"/>
      <c r="BC114" s="5"/>
      <c r="BD114" s="5"/>
      <c r="BE114" s="27"/>
      <c r="BF114" s="28"/>
    </row>
    <row r="115" spans="3:58" x14ac:dyDescent="0.25">
      <c r="C115" s="5"/>
      <c r="D115" s="27"/>
      <c r="E115" s="5"/>
      <c r="F115" s="27"/>
      <c r="G115" s="6"/>
      <c r="H115" s="5"/>
      <c r="I115" s="27"/>
      <c r="J115" s="5"/>
      <c r="K115" s="27"/>
      <c r="L115" s="31"/>
      <c r="M115" s="5"/>
      <c r="N115" s="27"/>
      <c r="O115" s="5"/>
      <c r="P115" s="27"/>
      <c r="Q115" s="31"/>
      <c r="R115" s="5"/>
      <c r="S115" s="27"/>
      <c r="T115" s="5"/>
      <c r="U115" s="27"/>
      <c r="V115" s="31"/>
      <c r="W115" s="5"/>
      <c r="X115" s="27"/>
      <c r="Y115" s="5"/>
      <c r="Z115" s="27"/>
      <c r="AA115" s="28"/>
      <c r="AB115" s="105"/>
      <c r="AC115" s="5"/>
      <c r="AD115" s="27"/>
      <c r="AE115" s="5"/>
      <c r="AF115" s="5"/>
      <c r="AG115" s="27"/>
      <c r="AH115" s="6"/>
      <c r="AI115" s="5"/>
      <c r="AJ115" s="27"/>
      <c r="AK115" s="5"/>
      <c r="AL115" s="5"/>
      <c r="AM115" s="27"/>
      <c r="AN115" s="31"/>
      <c r="AO115" s="5"/>
      <c r="AP115" s="27"/>
      <c r="AQ115" s="5"/>
      <c r="AR115" s="5"/>
      <c r="AS115" s="27"/>
      <c r="AT115" s="31"/>
      <c r="AU115" s="5"/>
      <c r="AV115" s="27"/>
      <c r="AW115" s="5"/>
      <c r="AX115" s="5"/>
      <c r="AY115" s="27"/>
      <c r="AZ115" s="31"/>
      <c r="BA115" s="5"/>
      <c r="BB115" s="27"/>
      <c r="BC115" s="5"/>
      <c r="BD115" s="5"/>
      <c r="BE115" s="27"/>
      <c r="BF115" s="28"/>
    </row>
    <row r="116" spans="3:58" x14ac:dyDescent="0.25">
      <c r="C116" s="5"/>
      <c r="D116" s="27"/>
      <c r="E116" s="5"/>
      <c r="F116" s="27"/>
      <c r="G116" s="6"/>
      <c r="H116" s="5"/>
      <c r="I116" s="27"/>
      <c r="J116" s="5"/>
      <c r="K116" s="27"/>
      <c r="L116" s="31"/>
      <c r="M116" s="5"/>
      <c r="N116" s="27"/>
      <c r="O116" s="5"/>
      <c r="P116" s="27"/>
      <c r="Q116" s="31"/>
      <c r="R116" s="5"/>
      <c r="S116" s="27"/>
      <c r="T116" s="5"/>
      <c r="U116" s="27"/>
      <c r="V116" s="31"/>
      <c r="W116" s="5"/>
      <c r="X116" s="27"/>
      <c r="Y116" s="5"/>
      <c r="Z116" s="27"/>
      <c r="AA116" s="28"/>
      <c r="AB116" s="105"/>
      <c r="AC116" s="5"/>
      <c r="AD116" s="27"/>
      <c r="AE116" s="5"/>
      <c r="AF116" s="5"/>
      <c r="AG116" s="27"/>
      <c r="AH116" s="6"/>
      <c r="AI116" s="5"/>
      <c r="AJ116" s="27"/>
      <c r="AK116" s="5"/>
      <c r="AL116" s="5"/>
      <c r="AM116" s="27"/>
      <c r="AN116" s="31"/>
      <c r="AO116" s="5"/>
      <c r="AP116" s="27"/>
      <c r="AQ116" s="5"/>
      <c r="AR116" s="5"/>
      <c r="AS116" s="27"/>
      <c r="AT116" s="31"/>
      <c r="AU116" s="5"/>
      <c r="AV116" s="27"/>
      <c r="AW116" s="5"/>
      <c r="AX116" s="5"/>
      <c r="AY116" s="27"/>
      <c r="AZ116" s="31"/>
      <c r="BA116" s="5"/>
      <c r="BB116" s="27"/>
      <c r="BC116" s="5"/>
      <c r="BD116" s="5"/>
      <c r="BE116" s="27"/>
      <c r="BF116" s="28"/>
    </row>
    <row r="117" spans="3:58" x14ac:dyDescent="0.25">
      <c r="C117" s="5"/>
      <c r="D117" s="27"/>
      <c r="E117" s="5"/>
      <c r="F117" s="27"/>
      <c r="G117" s="6"/>
      <c r="H117" s="5"/>
      <c r="I117" s="27"/>
      <c r="J117" s="5"/>
      <c r="K117" s="27"/>
      <c r="L117" s="31"/>
      <c r="M117" s="5"/>
      <c r="N117" s="27"/>
      <c r="O117" s="5"/>
      <c r="P117" s="27"/>
      <c r="Q117" s="31"/>
      <c r="R117" s="5"/>
      <c r="S117" s="27"/>
      <c r="T117" s="5"/>
      <c r="U117" s="27"/>
      <c r="V117" s="31"/>
      <c r="W117" s="5"/>
      <c r="X117" s="27"/>
      <c r="Y117" s="5"/>
      <c r="Z117" s="27"/>
      <c r="AA117" s="28"/>
      <c r="AB117" s="105"/>
      <c r="AC117" s="5"/>
      <c r="AD117" s="27"/>
      <c r="AE117" s="5"/>
      <c r="AF117" s="5"/>
      <c r="AG117" s="27"/>
      <c r="AH117" s="6"/>
      <c r="AI117" s="5"/>
      <c r="AJ117" s="27"/>
      <c r="AK117" s="5"/>
      <c r="AL117" s="5"/>
      <c r="AM117" s="27"/>
      <c r="AN117" s="31"/>
      <c r="AO117" s="5"/>
      <c r="AP117" s="27"/>
      <c r="AQ117" s="5"/>
      <c r="AR117" s="5"/>
      <c r="AS117" s="27"/>
      <c r="AT117" s="31"/>
      <c r="AU117" s="5"/>
      <c r="AV117" s="27"/>
      <c r="AW117" s="5"/>
      <c r="AX117" s="5"/>
      <c r="AY117" s="27"/>
      <c r="AZ117" s="31"/>
      <c r="BA117" s="5"/>
      <c r="BB117" s="27"/>
      <c r="BC117" s="5"/>
      <c r="BD117" s="5"/>
      <c r="BE117" s="27"/>
      <c r="BF117" s="28"/>
    </row>
    <row r="118" spans="3:58" x14ac:dyDescent="0.25">
      <c r="C118" s="5"/>
      <c r="D118" s="27"/>
      <c r="E118" s="5"/>
      <c r="F118" s="27"/>
      <c r="G118" s="6"/>
      <c r="H118" s="5"/>
      <c r="I118" s="27"/>
      <c r="J118" s="5"/>
      <c r="K118" s="27"/>
      <c r="L118" s="31"/>
      <c r="M118" s="5"/>
      <c r="N118" s="27"/>
      <c r="O118" s="5"/>
      <c r="P118" s="27"/>
      <c r="Q118" s="31"/>
      <c r="R118" s="5"/>
      <c r="S118" s="27"/>
      <c r="T118" s="5"/>
      <c r="U118" s="27"/>
      <c r="V118" s="31"/>
      <c r="W118" s="5"/>
      <c r="X118" s="27"/>
      <c r="Y118" s="5"/>
      <c r="Z118" s="27"/>
      <c r="AA118" s="28"/>
      <c r="AB118" s="105"/>
      <c r="AC118" s="5"/>
      <c r="AD118" s="27"/>
      <c r="AE118" s="5"/>
      <c r="AF118" s="5"/>
      <c r="AG118" s="27"/>
      <c r="AH118" s="6"/>
      <c r="AI118" s="5"/>
      <c r="AJ118" s="27"/>
      <c r="AK118" s="5"/>
      <c r="AL118" s="5"/>
      <c r="AM118" s="27"/>
      <c r="AN118" s="31"/>
      <c r="AO118" s="5"/>
      <c r="AP118" s="27"/>
      <c r="AQ118" s="5"/>
      <c r="AR118" s="5"/>
      <c r="AS118" s="27"/>
      <c r="AT118" s="31"/>
      <c r="AU118" s="5"/>
      <c r="AV118" s="27"/>
      <c r="AW118" s="5"/>
      <c r="AX118" s="5"/>
      <c r="AY118" s="27"/>
      <c r="AZ118" s="31"/>
      <c r="BA118" s="5"/>
      <c r="BB118" s="27"/>
      <c r="BC118" s="5"/>
      <c r="BD118" s="5"/>
      <c r="BE118" s="27"/>
      <c r="BF118" s="28"/>
    </row>
    <row r="119" spans="3:58" x14ac:dyDescent="0.25">
      <c r="C119" s="5"/>
      <c r="D119" s="27"/>
      <c r="E119" s="5"/>
      <c r="F119" s="27"/>
      <c r="G119" s="6"/>
      <c r="H119" s="5"/>
      <c r="I119" s="27"/>
      <c r="J119" s="5"/>
      <c r="K119" s="27"/>
      <c r="L119" s="31"/>
      <c r="M119" s="5"/>
      <c r="N119" s="27"/>
      <c r="O119" s="5"/>
      <c r="P119" s="27"/>
      <c r="Q119" s="31"/>
      <c r="R119" s="5"/>
      <c r="S119" s="27"/>
      <c r="T119" s="5"/>
      <c r="U119" s="27"/>
      <c r="V119" s="31"/>
      <c r="W119" s="5"/>
      <c r="X119" s="27"/>
      <c r="Y119" s="5"/>
      <c r="Z119" s="27"/>
      <c r="AA119" s="28"/>
      <c r="AB119" s="105"/>
      <c r="AC119" s="5"/>
      <c r="AD119" s="27"/>
      <c r="AE119" s="5"/>
      <c r="AF119" s="5"/>
      <c r="AG119" s="27"/>
      <c r="AH119" s="6"/>
      <c r="AI119" s="5"/>
      <c r="AJ119" s="27"/>
      <c r="AK119" s="5"/>
      <c r="AL119" s="5"/>
      <c r="AM119" s="27"/>
      <c r="AN119" s="31"/>
      <c r="AO119" s="5"/>
      <c r="AP119" s="27"/>
      <c r="AQ119" s="5"/>
      <c r="AR119" s="5"/>
      <c r="AS119" s="27"/>
      <c r="AT119" s="31"/>
      <c r="AU119" s="5"/>
      <c r="AV119" s="27"/>
      <c r="AW119" s="5"/>
      <c r="AX119" s="5"/>
      <c r="AY119" s="27"/>
      <c r="AZ119" s="31"/>
      <c r="BA119" s="5"/>
      <c r="BB119" s="27"/>
      <c r="BC119" s="5"/>
      <c r="BD119" s="5"/>
      <c r="BE119" s="27"/>
      <c r="BF119" s="28"/>
    </row>
    <row r="120" spans="3:58" x14ac:dyDescent="0.25">
      <c r="C120" s="5"/>
      <c r="D120" s="27"/>
      <c r="E120" s="5"/>
      <c r="F120" s="27"/>
      <c r="G120" s="6"/>
      <c r="H120" s="5"/>
      <c r="I120" s="27"/>
      <c r="J120" s="5"/>
      <c r="K120" s="27"/>
      <c r="L120" s="31"/>
      <c r="M120" s="5"/>
      <c r="N120" s="27"/>
      <c r="O120" s="5"/>
      <c r="P120" s="27"/>
      <c r="Q120" s="31"/>
      <c r="R120" s="5"/>
      <c r="S120" s="27"/>
      <c r="T120" s="5"/>
      <c r="U120" s="27"/>
      <c r="V120" s="31"/>
      <c r="W120" s="5"/>
      <c r="X120" s="27"/>
      <c r="Y120" s="5"/>
      <c r="Z120" s="27"/>
      <c r="AA120" s="28"/>
      <c r="AB120" s="105"/>
      <c r="AC120" s="5"/>
      <c r="AD120" s="27"/>
      <c r="AE120" s="5"/>
      <c r="AF120" s="5"/>
      <c r="AG120" s="27"/>
      <c r="AH120" s="6"/>
      <c r="AI120" s="5"/>
      <c r="AJ120" s="27"/>
      <c r="AK120" s="5"/>
      <c r="AL120" s="5"/>
      <c r="AM120" s="27"/>
      <c r="AN120" s="31"/>
      <c r="AO120" s="5"/>
      <c r="AP120" s="27"/>
      <c r="AQ120" s="5"/>
      <c r="AR120" s="5"/>
      <c r="AS120" s="27"/>
      <c r="AT120" s="31"/>
      <c r="AU120" s="5"/>
      <c r="AV120" s="27"/>
      <c r="AW120" s="5"/>
      <c r="AX120" s="5"/>
      <c r="AY120" s="27"/>
      <c r="AZ120" s="31"/>
      <c r="BA120" s="5"/>
      <c r="BB120" s="27"/>
      <c r="BC120" s="5"/>
      <c r="BD120" s="5"/>
      <c r="BE120" s="27"/>
      <c r="BF120" s="28"/>
    </row>
    <row r="121" spans="3:58" x14ac:dyDescent="0.25">
      <c r="C121" s="5"/>
      <c r="D121" s="27"/>
      <c r="E121" s="5"/>
      <c r="F121" s="27"/>
      <c r="G121" s="6"/>
      <c r="H121" s="5"/>
      <c r="I121" s="27"/>
      <c r="J121" s="5"/>
      <c r="K121" s="27"/>
      <c r="L121" s="31"/>
      <c r="M121" s="5"/>
      <c r="N121" s="27"/>
      <c r="O121" s="5"/>
      <c r="P121" s="27"/>
      <c r="Q121" s="31"/>
      <c r="R121" s="5"/>
      <c r="S121" s="27"/>
      <c r="T121" s="5"/>
      <c r="U121" s="27"/>
      <c r="V121" s="31"/>
      <c r="W121" s="5"/>
      <c r="X121" s="27"/>
      <c r="Y121" s="5"/>
      <c r="Z121" s="27"/>
      <c r="AA121" s="28"/>
      <c r="AB121" s="105"/>
      <c r="AC121" s="5"/>
      <c r="AD121" s="27"/>
      <c r="AE121" s="5"/>
      <c r="AF121" s="5"/>
      <c r="AG121" s="27"/>
      <c r="AH121" s="6"/>
      <c r="AI121" s="5"/>
      <c r="AJ121" s="27"/>
      <c r="AK121" s="5"/>
      <c r="AL121" s="5"/>
      <c r="AM121" s="27"/>
      <c r="AN121" s="31"/>
      <c r="AO121" s="5"/>
      <c r="AP121" s="27"/>
      <c r="AQ121" s="5"/>
      <c r="AR121" s="5"/>
      <c r="AS121" s="27"/>
      <c r="AT121" s="31"/>
      <c r="AU121" s="5"/>
      <c r="AV121" s="27"/>
      <c r="AW121" s="5"/>
      <c r="AX121" s="5"/>
      <c r="AY121" s="27"/>
      <c r="AZ121" s="31"/>
      <c r="BA121" s="5"/>
      <c r="BB121" s="27"/>
      <c r="BC121" s="5"/>
      <c r="BD121" s="5"/>
      <c r="BE121" s="27"/>
      <c r="BF121" s="28"/>
    </row>
    <row r="122" spans="3:58" x14ac:dyDescent="0.25">
      <c r="C122" s="5"/>
      <c r="D122" s="27"/>
      <c r="E122" s="5"/>
      <c r="F122" s="27"/>
      <c r="G122" s="6"/>
      <c r="H122" s="5"/>
      <c r="I122" s="27"/>
      <c r="J122" s="5"/>
      <c r="K122" s="27"/>
      <c r="L122" s="31"/>
      <c r="M122" s="5"/>
      <c r="N122" s="27"/>
      <c r="O122" s="5"/>
      <c r="P122" s="27"/>
      <c r="Q122" s="31"/>
      <c r="R122" s="5"/>
      <c r="S122" s="27"/>
      <c r="T122" s="5"/>
      <c r="U122" s="27"/>
      <c r="V122" s="31"/>
      <c r="W122" s="5"/>
      <c r="X122" s="27"/>
      <c r="Y122" s="5"/>
      <c r="Z122" s="27"/>
      <c r="AA122" s="28"/>
      <c r="AB122" s="105"/>
      <c r="AC122" s="5"/>
      <c r="AD122" s="27"/>
      <c r="AE122" s="5"/>
      <c r="AF122" s="5"/>
      <c r="AG122" s="27"/>
      <c r="AH122" s="6"/>
      <c r="AI122" s="5"/>
      <c r="AJ122" s="27"/>
      <c r="AK122" s="5"/>
      <c r="AL122" s="5"/>
      <c r="AM122" s="27"/>
      <c r="AN122" s="31"/>
      <c r="AO122" s="5"/>
      <c r="AP122" s="27"/>
      <c r="AQ122" s="5"/>
      <c r="AR122" s="5"/>
      <c r="AS122" s="27"/>
      <c r="AT122" s="31"/>
      <c r="AU122" s="5"/>
      <c r="AV122" s="27"/>
      <c r="AW122" s="5"/>
      <c r="AX122" s="5"/>
      <c r="AY122" s="27"/>
      <c r="AZ122" s="31"/>
      <c r="BA122" s="5"/>
      <c r="BB122" s="27"/>
      <c r="BC122" s="5"/>
      <c r="BD122" s="5"/>
      <c r="BE122" s="27"/>
      <c r="BF122" s="28"/>
    </row>
    <row r="123" spans="3:58" x14ac:dyDescent="0.25">
      <c r="C123" s="5"/>
      <c r="D123" s="27"/>
      <c r="E123" s="5"/>
      <c r="F123" s="27"/>
      <c r="G123" s="6"/>
      <c r="H123" s="5"/>
      <c r="I123" s="27"/>
      <c r="J123" s="5"/>
      <c r="K123" s="27"/>
      <c r="L123" s="31"/>
      <c r="M123" s="5"/>
      <c r="N123" s="27"/>
      <c r="O123" s="5"/>
      <c r="P123" s="27"/>
      <c r="Q123" s="31"/>
      <c r="R123" s="5"/>
      <c r="S123" s="27"/>
      <c r="T123" s="5"/>
      <c r="U123" s="27"/>
      <c r="V123" s="31"/>
      <c r="W123" s="5"/>
      <c r="X123" s="27"/>
      <c r="Y123" s="5"/>
      <c r="Z123" s="27"/>
      <c r="AA123" s="28"/>
      <c r="AB123" s="105"/>
      <c r="AC123" s="5"/>
      <c r="AD123" s="27"/>
      <c r="AE123" s="5"/>
      <c r="AF123" s="5"/>
      <c r="AG123" s="27"/>
      <c r="AH123" s="6"/>
      <c r="AI123" s="5"/>
      <c r="AJ123" s="27"/>
      <c r="AK123" s="5"/>
      <c r="AL123" s="5"/>
      <c r="AM123" s="27"/>
      <c r="AN123" s="31"/>
      <c r="AO123" s="5"/>
      <c r="AP123" s="27"/>
      <c r="AQ123" s="5"/>
      <c r="AR123" s="5"/>
      <c r="AS123" s="27"/>
      <c r="AT123" s="31"/>
      <c r="AU123" s="5"/>
      <c r="AV123" s="27"/>
      <c r="AW123" s="5"/>
      <c r="AX123" s="5"/>
      <c r="AY123" s="27"/>
      <c r="AZ123" s="31"/>
      <c r="BA123" s="5"/>
      <c r="BB123" s="27"/>
      <c r="BC123" s="5"/>
      <c r="BD123" s="5"/>
      <c r="BE123" s="27"/>
      <c r="BF123" s="28"/>
    </row>
    <row r="124" spans="3:58" x14ac:dyDescent="0.25">
      <c r="C124" s="5"/>
      <c r="D124" s="27"/>
      <c r="E124" s="5"/>
      <c r="F124" s="27"/>
      <c r="G124" s="6"/>
      <c r="H124" s="5"/>
      <c r="I124" s="27"/>
      <c r="J124" s="5"/>
      <c r="K124" s="27"/>
      <c r="L124" s="31"/>
      <c r="M124" s="5"/>
      <c r="N124" s="27"/>
      <c r="O124" s="5"/>
      <c r="P124" s="27"/>
      <c r="Q124" s="31"/>
      <c r="R124" s="5"/>
      <c r="S124" s="27"/>
      <c r="T124" s="5"/>
      <c r="U124" s="27"/>
      <c r="V124" s="31"/>
      <c r="W124" s="5"/>
      <c r="X124" s="27"/>
      <c r="Y124" s="5"/>
      <c r="Z124" s="27"/>
      <c r="AA124" s="28"/>
      <c r="AB124" s="105"/>
      <c r="AC124" s="5"/>
      <c r="AD124" s="27"/>
      <c r="AE124" s="5"/>
      <c r="AF124" s="5"/>
      <c r="AG124" s="27"/>
      <c r="AH124" s="6"/>
      <c r="AI124" s="5"/>
      <c r="AJ124" s="27"/>
      <c r="AK124" s="5"/>
      <c r="AL124" s="5"/>
      <c r="AM124" s="27"/>
      <c r="AN124" s="31"/>
      <c r="AO124" s="5"/>
      <c r="AP124" s="27"/>
      <c r="AQ124" s="5"/>
      <c r="AR124" s="5"/>
      <c r="AS124" s="27"/>
      <c r="AT124" s="31"/>
      <c r="AU124" s="5"/>
      <c r="AV124" s="27"/>
      <c r="AW124" s="5"/>
      <c r="AX124" s="5"/>
      <c r="AY124" s="27"/>
      <c r="AZ124" s="31"/>
      <c r="BA124" s="5"/>
      <c r="BB124" s="27"/>
      <c r="BC124" s="5"/>
      <c r="BD124" s="5"/>
      <c r="BE124" s="27"/>
      <c r="BF124" s="28"/>
    </row>
    <row r="125" spans="3:58" x14ac:dyDescent="0.25">
      <c r="C125" s="5"/>
      <c r="D125" s="27"/>
      <c r="E125" s="5"/>
      <c r="F125" s="27"/>
      <c r="G125" s="6"/>
      <c r="H125" s="5"/>
      <c r="I125" s="27"/>
      <c r="J125" s="5"/>
      <c r="K125" s="27"/>
      <c r="L125" s="31"/>
      <c r="M125" s="5"/>
      <c r="N125" s="27"/>
      <c r="O125" s="5"/>
      <c r="P125" s="27"/>
      <c r="Q125" s="31"/>
      <c r="R125" s="5"/>
      <c r="S125" s="27"/>
      <c r="T125" s="5"/>
      <c r="U125" s="27"/>
      <c r="V125" s="31"/>
      <c r="W125" s="5"/>
      <c r="X125" s="27"/>
      <c r="Y125" s="5"/>
      <c r="Z125" s="27"/>
      <c r="AA125" s="28"/>
      <c r="AB125" s="105"/>
      <c r="AC125" s="5"/>
      <c r="AD125" s="27"/>
      <c r="AE125" s="5"/>
      <c r="AF125" s="5"/>
      <c r="AG125" s="27"/>
      <c r="AH125" s="6"/>
      <c r="AI125" s="5"/>
      <c r="AJ125" s="27"/>
      <c r="AK125" s="5"/>
      <c r="AL125" s="5"/>
      <c r="AM125" s="27"/>
      <c r="AN125" s="31"/>
      <c r="AO125" s="5"/>
      <c r="AP125" s="27"/>
      <c r="AQ125" s="5"/>
      <c r="AR125" s="5"/>
      <c r="AS125" s="27"/>
      <c r="AT125" s="31"/>
      <c r="AU125" s="5"/>
      <c r="AV125" s="27"/>
      <c r="AW125" s="5"/>
      <c r="AX125" s="5"/>
      <c r="AY125" s="27"/>
      <c r="AZ125" s="31"/>
      <c r="BA125" s="5"/>
      <c r="BB125" s="27"/>
      <c r="BC125" s="5"/>
      <c r="BD125" s="5"/>
      <c r="BE125" s="27"/>
      <c r="BF125" s="28"/>
    </row>
    <row r="126" spans="3:58" x14ac:dyDescent="0.25">
      <c r="C126" s="5"/>
      <c r="D126" s="27"/>
      <c r="E126" s="5"/>
      <c r="F126" s="27"/>
      <c r="G126" s="6"/>
      <c r="H126" s="5"/>
      <c r="I126" s="27"/>
      <c r="J126" s="5"/>
      <c r="K126" s="27"/>
      <c r="L126" s="31"/>
      <c r="M126" s="5"/>
      <c r="N126" s="27"/>
      <c r="O126" s="5"/>
      <c r="P126" s="27"/>
      <c r="Q126" s="31"/>
      <c r="R126" s="5"/>
      <c r="S126" s="27"/>
      <c r="T126" s="5"/>
      <c r="U126" s="27"/>
      <c r="V126" s="31"/>
      <c r="W126" s="5"/>
      <c r="X126" s="27"/>
      <c r="Y126" s="5"/>
      <c r="Z126" s="27"/>
      <c r="AA126" s="28"/>
      <c r="AB126" s="105"/>
      <c r="AC126" s="5"/>
      <c r="AD126" s="27"/>
      <c r="AE126" s="5"/>
      <c r="AF126" s="5"/>
      <c r="AG126" s="27"/>
      <c r="AH126" s="6"/>
      <c r="AI126" s="5"/>
      <c r="AJ126" s="27"/>
      <c r="AK126" s="5"/>
      <c r="AL126" s="5"/>
      <c r="AM126" s="27"/>
      <c r="AN126" s="31"/>
      <c r="AO126" s="5"/>
      <c r="AP126" s="27"/>
      <c r="AQ126" s="5"/>
      <c r="AR126" s="5"/>
      <c r="AS126" s="27"/>
      <c r="AT126" s="31"/>
      <c r="AU126" s="5"/>
      <c r="AV126" s="27"/>
      <c r="AW126" s="5"/>
      <c r="AX126" s="5"/>
      <c r="AY126" s="27"/>
      <c r="AZ126" s="31"/>
      <c r="BA126" s="5"/>
      <c r="BB126" s="27"/>
      <c r="BC126" s="5"/>
      <c r="BD126" s="5"/>
      <c r="BE126" s="27"/>
      <c r="BF126" s="28"/>
    </row>
    <row r="127" spans="3:58" x14ac:dyDescent="0.25">
      <c r="C127" s="5"/>
      <c r="D127" s="27"/>
      <c r="E127" s="5"/>
      <c r="F127" s="27"/>
      <c r="G127" s="6"/>
      <c r="H127" s="5"/>
      <c r="I127" s="27"/>
      <c r="J127" s="5"/>
      <c r="K127" s="27"/>
      <c r="L127" s="31"/>
      <c r="M127" s="5"/>
      <c r="N127" s="27"/>
      <c r="O127" s="5"/>
      <c r="P127" s="27"/>
      <c r="Q127" s="31"/>
      <c r="R127" s="5"/>
      <c r="S127" s="27"/>
      <c r="T127" s="5"/>
      <c r="U127" s="27"/>
      <c r="V127" s="31"/>
      <c r="W127" s="5"/>
      <c r="X127" s="27"/>
      <c r="Y127" s="5"/>
      <c r="Z127" s="27"/>
      <c r="AA127" s="28"/>
      <c r="AB127" s="105"/>
      <c r="AC127" s="5"/>
      <c r="AD127" s="27"/>
      <c r="AE127" s="5"/>
      <c r="AF127" s="5"/>
      <c r="AG127" s="27"/>
      <c r="AH127" s="6"/>
      <c r="AI127" s="5"/>
      <c r="AJ127" s="27"/>
      <c r="AK127" s="5"/>
      <c r="AL127" s="5"/>
      <c r="AM127" s="27"/>
      <c r="AN127" s="31"/>
      <c r="AO127" s="5"/>
      <c r="AP127" s="27"/>
      <c r="AQ127" s="5"/>
      <c r="AR127" s="5"/>
      <c r="AS127" s="27"/>
      <c r="AT127" s="31"/>
      <c r="AU127" s="5"/>
      <c r="AV127" s="27"/>
      <c r="AW127" s="5"/>
      <c r="AX127" s="5"/>
      <c r="AY127" s="27"/>
      <c r="AZ127" s="31"/>
      <c r="BA127" s="5"/>
      <c r="BB127" s="27"/>
      <c r="BC127" s="5"/>
      <c r="BD127" s="5"/>
      <c r="BE127" s="27"/>
      <c r="BF127" s="28"/>
    </row>
    <row r="128" spans="3:58" x14ac:dyDescent="0.25">
      <c r="C128" s="5"/>
      <c r="D128" s="27"/>
      <c r="E128" s="5"/>
      <c r="F128" s="27"/>
      <c r="G128" s="6"/>
      <c r="H128" s="5"/>
      <c r="I128" s="27"/>
      <c r="J128" s="5"/>
      <c r="K128" s="27"/>
      <c r="L128" s="31"/>
      <c r="M128" s="5"/>
      <c r="N128" s="27"/>
      <c r="O128" s="5"/>
      <c r="P128" s="27"/>
      <c r="Q128" s="31"/>
      <c r="R128" s="5"/>
      <c r="S128" s="27"/>
      <c r="T128" s="5"/>
      <c r="U128" s="27"/>
      <c r="V128" s="31"/>
      <c r="W128" s="5"/>
      <c r="X128" s="27"/>
      <c r="Y128" s="5"/>
      <c r="Z128" s="27"/>
      <c r="AA128" s="28"/>
      <c r="AB128" s="105"/>
      <c r="AC128" s="5"/>
      <c r="AD128" s="27"/>
      <c r="AE128" s="5"/>
      <c r="AF128" s="5"/>
      <c r="AG128" s="27"/>
      <c r="AH128" s="6"/>
      <c r="AI128" s="5"/>
      <c r="AJ128" s="27"/>
      <c r="AK128" s="5"/>
      <c r="AL128" s="5"/>
      <c r="AM128" s="27"/>
      <c r="AN128" s="31"/>
      <c r="AO128" s="5"/>
      <c r="AP128" s="27"/>
      <c r="AQ128" s="5"/>
      <c r="AR128" s="5"/>
      <c r="AS128" s="27"/>
      <c r="AT128" s="31"/>
      <c r="AU128" s="5"/>
      <c r="AV128" s="27"/>
      <c r="AW128" s="5"/>
      <c r="AX128" s="5"/>
      <c r="AY128" s="27"/>
      <c r="AZ128" s="31"/>
      <c r="BA128" s="5"/>
      <c r="BB128" s="27"/>
      <c r="BC128" s="5"/>
      <c r="BD128" s="5"/>
      <c r="BE128" s="27"/>
      <c r="BF128" s="28"/>
    </row>
    <row r="129" spans="3:58" x14ac:dyDescent="0.25">
      <c r="C129" s="5"/>
      <c r="D129" s="27"/>
      <c r="E129" s="5"/>
      <c r="F129" s="27"/>
      <c r="G129" s="6"/>
      <c r="H129" s="5"/>
      <c r="I129" s="27"/>
      <c r="J129" s="5"/>
      <c r="K129" s="27"/>
      <c r="L129" s="31"/>
      <c r="M129" s="5"/>
      <c r="N129" s="27"/>
      <c r="O129" s="5"/>
      <c r="P129" s="27"/>
      <c r="Q129" s="31"/>
      <c r="R129" s="5"/>
      <c r="S129" s="27"/>
      <c r="T129" s="5"/>
      <c r="U129" s="27"/>
      <c r="V129" s="31"/>
      <c r="W129" s="5"/>
      <c r="X129" s="27"/>
      <c r="Y129" s="5"/>
      <c r="Z129" s="27"/>
      <c r="AA129" s="28"/>
      <c r="AB129" s="105"/>
      <c r="AC129" s="5"/>
      <c r="AD129" s="27"/>
      <c r="AE129" s="5"/>
      <c r="AF129" s="5"/>
      <c r="AG129" s="27"/>
      <c r="AH129" s="6"/>
      <c r="AI129" s="5"/>
      <c r="AJ129" s="27"/>
      <c r="AK129" s="5"/>
      <c r="AL129" s="5"/>
      <c r="AM129" s="27"/>
      <c r="AN129" s="31"/>
      <c r="AO129" s="5"/>
      <c r="AP129" s="27"/>
      <c r="AQ129" s="5"/>
      <c r="AR129" s="5"/>
      <c r="AS129" s="27"/>
      <c r="AT129" s="31"/>
      <c r="AU129" s="5"/>
      <c r="AV129" s="27"/>
      <c r="AW129" s="5"/>
      <c r="AX129" s="5"/>
      <c r="AY129" s="27"/>
      <c r="AZ129" s="31"/>
      <c r="BA129" s="5"/>
      <c r="BB129" s="27"/>
      <c r="BC129" s="5"/>
      <c r="BD129" s="5"/>
      <c r="BE129" s="27"/>
      <c r="BF129" s="28"/>
    </row>
    <row r="130" spans="3:58" x14ac:dyDescent="0.25">
      <c r="C130" s="5"/>
      <c r="D130" s="27"/>
      <c r="E130" s="5"/>
      <c r="F130" s="27"/>
      <c r="G130" s="6"/>
      <c r="H130" s="5"/>
      <c r="I130" s="27"/>
      <c r="J130" s="5"/>
      <c r="K130" s="27"/>
      <c r="L130" s="31"/>
      <c r="M130" s="5"/>
      <c r="N130" s="27"/>
      <c r="O130" s="5"/>
      <c r="P130" s="27"/>
      <c r="Q130" s="31"/>
      <c r="R130" s="5"/>
      <c r="S130" s="27"/>
      <c r="T130" s="5"/>
      <c r="U130" s="27"/>
      <c r="V130" s="31"/>
      <c r="W130" s="5"/>
      <c r="X130" s="27"/>
      <c r="Y130" s="5"/>
      <c r="Z130" s="27"/>
      <c r="AA130" s="28"/>
      <c r="AB130" s="105"/>
      <c r="AC130" s="5"/>
      <c r="AD130" s="27"/>
      <c r="AE130" s="5"/>
      <c r="AF130" s="5"/>
      <c r="AG130" s="27"/>
      <c r="AH130" s="6"/>
      <c r="AI130" s="5"/>
      <c r="AJ130" s="27"/>
      <c r="AK130" s="5"/>
      <c r="AL130" s="5"/>
      <c r="AM130" s="27"/>
      <c r="AN130" s="31"/>
      <c r="AO130" s="5"/>
      <c r="AP130" s="27"/>
      <c r="AQ130" s="5"/>
      <c r="AR130" s="5"/>
      <c r="AS130" s="27"/>
      <c r="AT130" s="31"/>
      <c r="AU130" s="5"/>
      <c r="AV130" s="27"/>
      <c r="AW130" s="5"/>
      <c r="AX130" s="5"/>
      <c r="AY130" s="27"/>
      <c r="AZ130" s="31"/>
      <c r="BA130" s="5"/>
      <c r="BB130" s="27"/>
      <c r="BC130" s="5"/>
      <c r="BD130" s="5"/>
      <c r="BE130" s="27"/>
      <c r="BF130" s="28"/>
    </row>
    <row r="131" spans="3:58" x14ac:dyDescent="0.25">
      <c r="C131" s="5"/>
      <c r="D131" s="27"/>
      <c r="E131" s="5"/>
      <c r="F131" s="27"/>
      <c r="G131" s="6"/>
      <c r="H131" s="5"/>
      <c r="I131" s="27"/>
      <c r="J131" s="5"/>
      <c r="K131" s="27"/>
      <c r="L131" s="31"/>
      <c r="M131" s="5"/>
      <c r="N131" s="27"/>
      <c r="O131" s="5"/>
      <c r="P131" s="27"/>
      <c r="Q131" s="31"/>
      <c r="R131" s="5"/>
      <c r="S131" s="27"/>
      <c r="T131" s="5"/>
      <c r="U131" s="27"/>
      <c r="V131" s="31"/>
      <c r="W131" s="5"/>
      <c r="X131" s="27"/>
      <c r="Y131" s="5"/>
      <c r="Z131" s="27"/>
      <c r="AA131" s="28"/>
      <c r="AB131" s="105"/>
      <c r="AC131" s="5"/>
      <c r="AD131" s="27"/>
      <c r="AE131" s="5"/>
      <c r="AF131" s="5"/>
      <c r="AG131" s="27"/>
      <c r="AH131" s="6"/>
      <c r="AI131" s="5"/>
      <c r="AJ131" s="27"/>
      <c r="AK131" s="5"/>
      <c r="AL131" s="5"/>
      <c r="AM131" s="27"/>
      <c r="AN131" s="31"/>
      <c r="AO131" s="5"/>
      <c r="AP131" s="27"/>
      <c r="AQ131" s="5"/>
      <c r="AR131" s="5"/>
      <c r="AS131" s="27"/>
      <c r="AT131" s="31"/>
      <c r="AU131" s="5"/>
      <c r="AV131" s="27"/>
      <c r="AW131" s="5"/>
      <c r="AX131" s="5"/>
      <c r="AY131" s="27"/>
      <c r="AZ131" s="31"/>
      <c r="BA131" s="5"/>
      <c r="BB131" s="27"/>
      <c r="BC131" s="5"/>
      <c r="BD131" s="5"/>
      <c r="BE131" s="27"/>
      <c r="BF131" s="28"/>
    </row>
    <row r="132" spans="3:58" x14ac:dyDescent="0.25">
      <c r="C132" s="5"/>
      <c r="D132" s="27"/>
      <c r="E132" s="5"/>
      <c r="F132" s="27"/>
      <c r="G132" s="6"/>
      <c r="H132" s="5"/>
      <c r="I132" s="27"/>
      <c r="J132" s="5"/>
      <c r="K132" s="27"/>
      <c r="L132" s="31"/>
      <c r="M132" s="5"/>
      <c r="N132" s="27"/>
      <c r="O132" s="5"/>
      <c r="P132" s="27"/>
      <c r="Q132" s="31"/>
      <c r="R132" s="5"/>
      <c r="S132" s="27"/>
      <c r="T132" s="5"/>
      <c r="U132" s="27"/>
      <c r="V132" s="31"/>
      <c r="W132" s="5"/>
      <c r="X132" s="27"/>
      <c r="Y132" s="5"/>
      <c r="Z132" s="27"/>
      <c r="AA132" s="28"/>
      <c r="AB132" s="105"/>
      <c r="AC132" s="5"/>
      <c r="AD132" s="27"/>
      <c r="AE132" s="5"/>
      <c r="AF132" s="5"/>
      <c r="AG132" s="27"/>
      <c r="AH132" s="6"/>
      <c r="AI132" s="5"/>
      <c r="AJ132" s="27"/>
      <c r="AK132" s="5"/>
      <c r="AL132" s="5"/>
      <c r="AM132" s="27"/>
      <c r="AN132" s="31"/>
      <c r="AO132" s="5"/>
      <c r="AP132" s="27"/>
      <c r="AQ132" s="5"/>
      <c r="AR132" s="5"/>
      <c r="AS132" s="27"/>
      <c r="AT132" s="31"/>
      <c r="AU132" s="5"/>
      <c r="AV132" s="27"/>
      <c r="AW132" s="5"/>
      <c r="AX132" s="5"/>
      <c r="AY132" s="27"/>
      <c r="AZ132" s="31"/>
      <c r="BA132" s="5"/>
      <c r="BB132" s="27"/>
      <c r="BC132" s="5"/>
      <c r="BD132" s="5"/>
      <c r="BE132" s="27"/>
      <c r="BF132" s="28"/>
    </row>
    <row r="133" spans="3:58" x14ac:dyDescent="0.25">
      <c r="C133" s="5"/>
      <c r="D133" s="27"/>
      <c r="E133" s="5"/>
      <c r="F133" s="27"/>
      <c r="G133" s="6"/>
      <c r="H133" s="5"/>
      <c r="I133" s="27"/>
      <c r="J133" s="5"/>
      <c r="K133" s="27"/>
      <c r="L133" s="31"/>
      <c r="M133" s="5"/>
      <c r="N133" s="27"/>
      <c r="O133" s="5"/>
      <c r="P133" s="27"/>
      <c r="Q133" s="31"/>
      <c r="R133" s="5"/>
      <c r="S133" s="27"/>
      <c r="T133" s="5"/>
      <c r="U133" s="27"/>
      <c r="V133" s="31"/>
      <c r="W133" s="5"/>
      <c r="X133" s="27"/>
      <c r="Y133" s="5"/>
      <c r="Z133" s="27"/>
      <c r="AA133" s="28"/>
      <c r="AB133" s="105"/>
      <c r="AC133" s="5"/>
      <c r="AD133" s="27"/>
      <c r="AE133" s="5"/>
      <c r="AF133" s="5"/>
      <c r="AG133" s="27"/>
      <c r="AH133" s="6"/>
      <c r="AI133" s="5"/>
      <c r="AJ133" s="27"/>
      <c r="AK133" s="5"/>
      <c r="AL133" s="5"/>
      <c r="AM133" s="27"/>
      <c r="AN133" s="31"/>
      <c r="AO133" s="5"/>
      <c r="AP133" s="27"/>
      <c r="AQ133" s="5"/>
      <c r="AR133" s="5"/>
      <c r="AS133" s="27"/>
      <c r="AT133" s="31"/>
      <c r="AU133" s="5"/>
      <c r="AV133" s="27"/>
      <c r="AW133" s="5"/>
      <c r="AX133" s="5"/>
      <c r="AY133" s="27"/>
      <c r="AZ133" s="31"/>
      <c r="BA133" s="5"/>
      <c r="BB133" s="27"/>
      <c r="BC133" s="5"/>
      <c r="BD133" s="5"/>
      <c r="BE133" s="27"/>
      <c r="BF133" s="28"/>
    </row>
    <row r="134" spans="3:58" x14ac:dyDescent="0.25">
      <c r="C134" s="5"/>
      <c r="D134" s="27"/>
      <c r="E134" s="5"/>
      <c r="F134" s="27"/>
      <c r="G134" s="6"/>
      <c r="H134" s="5"/>
      <c r="I134" s="27"/>
      <c r="J134" s="5"/>
      <c r="K134" s="27"/>
      <c r="L134" s="31"/>
      <c r="M134" s="5"/>
      <c r="N134" s="27"/>
      <c r="O134" s="5"/>
      <c r="P134" s="27"/>
      <c r="Q134" s="31"/>
      <c r="R134" s="5"/>
      <c r="S134" s="27"/>
      <c r="T134" s="5"/>
      <c r="U134" s="27"/>
      <c r="V134" s="31"/>
      <c r="W134" s="5"/>
      <c r="X134" s="27"/>
      <c r="Y134" s="5"/>
      <c r="Z134" s="27"/>
      <c r="AA134" s="28"/>
      <c r="AB134" s="105"/>
      <c r="AC134" s="5"/>
      <c r="AD134" s="27"/>
      <c r="AE134" s="5"/>
      <c r="AF134" s="5"/>
      <c r="AG134" s="27"/>
      <c r="AH134" s="6"/>
      <c r="AI134" s="5"/>
      <c r="AJ134" s="27"/>
      <c r="AK134" s="5"/>
      <c r="AL134" s="5"/>
      <c r="AM134" s="27"/>
      <c r="AN134" s="31"/>
      <c r="AO134" s="5"/>
      <c r="AP134" s="27"/>
      <c r="AQ134" s="5"/>
      <c r="AR134" s="5"/>
      <c r="AS134" s="27"/>
      <c r="AT134" s="31"/>
      <c r="AU134" s="5"/>
      <c r="AV134" s="27"/>
      <c r="AW134" s="5"/>
      <c r="AX134" s="5"/>
      <c r="AY134" s="27"/>
      <c r="AZ134" s="31"/>
      <c r="BA134" s="5"/>
      <c r="BB134" s="27"/>
      <c r="BC134" s="5"/>
      <c r="BD134" s="5"/>
      <c r="BE134" s="27"/>
      <c r="BF134" s="28"/>
    </row>
    <row r="135" spans="3:58" x14ac:dyDescent="0.25">
      <c r="C135" s="5"/>
      <c r="D135" s="27"/>
      <c r="E135" s="5"/>
      <c r="F135" s="27"/>
      <c r="G135" s="6"/>
      <c r="H135" s="5"/>
      <c r="I135" s="27"/>
      <c r="J135" s="5"/>
      <c r="K135" s="27"/>
      <c r="L135" s="31"/>
      <c r="M135" s="5"/>
      <c r="N135" s="27"/>
      <c r="O135" s="5"/>
      <c r="P135" s="27"/>
      <c r="Q135" s="31"/>
      <c r="R135" s="5"/>
      <c r="S135" s="27"/>
      <c r="T135" s="5"/>
      <c r="U135" s="27"/>
      <c r="V135" s="31"/>
      <c r="W135" s="5"/>
      <c r="X135" s="27"/>
      <c r="Y135" s="5"/>
      <c r="Z135" s="27"/>
      <c r="AA135" s="28"/>
      <c r="AB135" s="105"/>
      <c r="AC135" s="5"/>
      <c r="AD135" s="27"/>
      <c r="AE135" s="5"/>
      <c r="AF135" s="5"/>
      <c r="AG135" s="27"/>
      <c r="AH135" s="6"/>
      <c r="AI135" s="5"/>
      <c r="AJ135" s="27"/>
      <c r="AK135" s="5"/>
      <c r="AL135" s="5"/>
      <c r="AM135" s="27"/>
      <c r="AN135" s="31"/>
      <c r="AO135" s="5"/>
      <c r="AP135" s="27"/>
      <c r="AQ135" s="5"/>
      <c r="AR135" s="5"/>
      <c r="AS135" s="27"/>
      <c r="AT135" s="31"/>
      <c r="AU135" s="5"/>
      <c r="AV135" s="27"/>
      <c r="AW135" s="5"/>
      <c r="AX135" s="5"/>
      <c r="AY135" s="27"/>
      <c r="AZ135" s="31"/>
      <c r="BA135" s="5"/>
      <c r="BB135" s="27"/>
      <c r="BC135" s="5"/>
      <c r="BD135" s="5"/>
      <c r="BE135" s="27"/>
      <c r="BF135" s="28"/>
    </row>
    <row r="136" spans="3:58" x14ac:dyDescent="0.25">
      <c r="C136" s="5"/>
      <c r="D136" s="27"/>
      <c r="E136" s="5"/>
      <c r="F136" s="27"/>
      <c r="G136" s="6"/>
      <c r="H136" s="5"/>
      <c r="I136" s="27"/>
      <c r="J136" s="5"/>
      <c r="K136" s="27"/>
      <c r="L136" s="31"/>
      <c r="M136" s="5"/>
      <c r="N136" s="27"/>
      <c r="O136" s="5"/>
      <c r="P136" s="27"/>
      <c r="Q136" s="31"/>
      <c r="R136" s="5"/>
      <c r="S136" s="27"/>
      <c r="T136" s="5"/>
      <c r="U136" s="27"/>
      <c r="V136" s="31"/>
      <c r="W136" s="5"/>
      <c r="X136" s="27"/>
      <c r="Y136" s="5"/>
      <c r="Z136" s="27"/>
      <c r="AA136" s="28"/>
      <c r="AB136" s="105"/>
      <c r="AC136" s="5"/>
      <c r="AD136" s="27"/>
      <c r="AE136" s="5"/>
      <c r="AF136" s="5"/>
      <c r="AG136" s="27"/>
      <c r="AH136" s="6"/>
      <c r="AI136" s="5"/>
      <c r="AJ136" s="27"/>
      <c r="AK136" s="5"/>
      <c r="AL136" s="5"/>
      <c r="AM136" s="27"/>
      <c r="AN136" s="31"/>
      <c r="AO136" s="5"/>
      <c r="AP136" s="27"/>
      <c r="AQ136" s="5"/>
      <c r="AR136" s="5"/>
      <c r="AS136" s="27"/>
      <c r="AT136" s="31"/>
      <c r="AU136" s="5"/>
      <c r="AV136" s="27"/>
      <c r="AW136" s="5"/>
      <c r="AX136" s="5"/>
      <c r="AY136" s="27"/>
      <c r="AZ136" s="31"/>
      <c r="BA136" s="5"/>
      <c r="BB136" s="27"/>
      <c r="BC136" s="5"/>
      <c r="BD136" s="5"/>
      <c r="BE136" s="27"/>
      <c r="BF136" s="28"/>
    </row>
    <row r="137" spans="3:58" x14ac:dyDescent="0.25">
      <c r="C137" s="5"/>
      <c r="D137" s="27"/>
      <c r="E137" s="5"/>
      <c r="F137" s="27"/>
      <c r="G137" s="6"/>
      <c r="H137" s="5"/>
      <c r="I137" s="27"/>
      <c r="J137" s="5"/>
      <c r="K137" s="27"/>
      <c r="L137" s="31"/>
      <c r="M137" s="5"/>
      <c r="N137" s="27"/>
      <c r="O137" s="5"/>
      <c r="P137" s="27"/>
      <c r="Q137" s="31"/>
      <c r="R137" s="5"/>
      <c r="S137" s="27"/>
      <c r="T137" s="5"/>
      <c r="U137" s="27"/>
      <c r="V137" s="31"/>
      <c r="W137" s="5"/>
      <c r="X137" s="27"/>
      <c r="Y137" s="5"/>
      <c r="Z137" s="27"/>
      <c r="AA137" s="28"/>
      <c r="AB137" s="105"/>
      <c r="AC137" s="5"/>
      <c r="AD137" s="27"/>
      <c r="AE137" s="5"/>
      <c r="AF137" s="5"/>
      <c r="AG137" s="27"/>
      <c r="AH137" s="6"/>
      <c r="AI137" s="5"/>
      <c r="AJ137" s="27"/>
      <c r="AK137" s="5"/>
      <c r="AL137" s="5"/>
      <c r="AM137" s="27"/>
      <c r="AN137" s="31"/>
      <c r="AO137" s="5"/>
      <c r="AP137" s="27"/>
      <c r="AQ137" s="5"/>
      <c r="AR137" s="5"/>
      <c r="AS137" s="27"/>
      <c r="AT137" s="31"/>
      <c r="AU137" s="5"/>
      <c r="AV137" s="27"/>
      <c r="AW137" s="5"/>
      <c r="AX137" s="5"/>
      <c r="AY137" s="27"/>
      <c r="AZ137" s="31"/>
      <c r="BA137" s="5"/>
      <c r="BB137" s="27"/>
      <c r="BC137" s="5"/>
      <c r="BD137" s="5"/>
      <c r="BE137" s="27"/>
      <c r="BF137" s="28"/>
    </row>
    <row r="138" spans="3:58" x14ac:dyDescent="0.25">
      <c r="C138" s="5"/>
      <c r="D138" s="27"/>
      <c r="E138" s="5"/>
      <c r="F138" s="27"/>
      <c r="G138" s="6"/>
      <c r="H138" s="5"/>
      <c r="I138" s="27"/>
      <c r="J138" s="5"/>
      <c r="K138" s="27"/>
      <c r="L138" s="31"/>
      <c r="M138" s="5"/>
      <c r="N138" s="27"/>
      <c r="O138" s="5"/>
      <c r="P138" s="27"/>
      <c r="Q138" s="31"/>
      <c r="R138" s="5"/>
      <c r="S138" s="27"/>
      <c r="T138" s="5"/>
      <c r="U138" s="27"/>
      <c r="V138" s="31"/>
      <c r="W138" s="5"/>
      <c r="X138" s="27"/>
      <c r="Y138" s="5"/>
      <c r="Z138" s="27"/>
      <c r="AA138" s="28"/>
      <c r="AB138" s="105"/>
      <c r="AC138" s="5"/>
      <c r="AD138" s="27"/>
      <c r="AE138" s="5"/>
      <c r="AF138" s="5"/>
      <c r="AG138" s="27"/>
      <c r="AH138" s="6"/>
      <c r="AI138" s="5"/>
      <c r="AJ138" s="27"/>
      <c r="AK138" s="5"/>
      <c r="AL138" s="5"/>
      <c r="AM138" s="27"/>
      <c r="AN138" s="31"/>
      <c r="AO138" s="5"/>
      <c r="AP138" s="27"/>
      <c r="AQ138" s="5"/>
      <c r="AR138" s="5"/>
      <c r="AS138" s="27"/>
      <c r="AT138" s="31"/>
      <c r="AU138" s="5"/>
      <c r="AV138" s="27"/>
      <c r="AW138" s="5"/>
      <c r="AX138" s="5"/>
      <c r="AY138" s="27"/>
      <c r="AZ138" s="31"/>
      <c r="BA138" s="5"/>
      <c r="BB138" s="27"/>
      <c r="BC138" s="5"/>
      <c r="BD138" s="5"/>
      <c r="BE138" s="27"/>
      <c r="BF138" s="28"/>
    </row>
    <row r="139" spans="3:58" x14ac:dyDescent="0.25">
      <c r="C139" s="5"/>
      <c r="D139" s="27"/>
      <c r="E139" s="5"/>
      <c r="F139" s="27"/>
      <c r="G139" s="6"/>
      <c r="H139" s="5"/>
      <c r="I139" s="27"/>
      <c r="J139" s="5"/>
      <c r="K139" s="27"/>
      <c r="L139" s="31"/>
      <c r="M139" s="5"/>
      <c r="N139" s="27"/>
      <c r="O139" s="5"/>
      <c r="P139" s="27"/>
      <c r="Q139" s="31"/>
      <c r="R139" s="5"/>
      <c r="S139" s="27"/>
      <c r="T139" s="5"/>
      <c r="U139" s="27"/>
      <c r="V139" s="31"/>
      <c r="W139" s="5"/>
      <c r="X139" s="27"/>
      <c r="Y139" s="5"/>
      <c r="Z139" s="27"/>
      <c r="AA139" s="28"/>
      <c r="AB139" s="105"/>
      <c r="AC139" s="5"/>
      <c r="AD139" s="27"/>
      <c r="AE139" s="5"/>
      <c r="AF139" s="5"/>
      <c r="AG139" s="27"/>
      <c r="AH139" s="6"/>
      <c r="AI139" s="5"/>
      <c r="AJ139" s="27"/>
      <c r="AK139" s="5"/>
      <c r="AL139" s="5"/>
      <c r="AM139" s="27"/>
      <c r="AN139" s="31"/>
      <c r="AO139" s="5"/>
      <c r="AP139" s="27"/>
      <c r="AQ139" s="5"/>
      <c r="AR139" s="5"/>
      <c r="AS139" s="27"/>
      <c r="AT139" s="31"/>
      <c r="AU139" s="5"/>
      <c r="AV139" s="27"/>
      <c r="AW139" s="5"/>
      <c r="AX139" s="5"/>
      <c r="AY139" s="27"/>
      <c r="AZ139" s="31"/>
      <c r="BA139" s="5"/>
      <c r="BB139" s="27"/>
      <c r="BC139" s="5"/>
      <c r="BD139" s="5"/>
      <c r="BE139" s="27"/>
      <c r="BF139" s="28"/>
    </row>
    <row r="140" spans="3:58" x14ac:dyDescent="0.25">
      <c r="C140" s="5"/>
      <c r="D140" s="27"/>
      <c r="E140" s="5"/>
      <c r="F140" s="27"/>
      <c r="G140" s="6"/>
      <c r="H140" s="5"/>
      <c r="I140" s="27"/>
      <c r="J140" s="5"/>
      <c r="K140" s="27"/>
      <c r="L140" s="31"/>
      <c r="M140" s="5"/>
      <c r="N140" s="27"/>
      <c r="O140" s="5"/>
      <c r="P140" s="27"/>
      <c r="Q140" s="31"/>
      <c r="R140" s="5"/>
      <c r="S140" s="27"/>
      <c r="T140" s="5"/>
      <c r="U140" s="27"/>
      <c r="V140" s="31"/>
      <c r="W140" s="5"/>
      <c r="X140" s="27"/>
      <c r="Y140" s="5"/>
      <c r="Z140" s="27"/>
      <c r="AA140" s="28"/>
      <c r="AB140" s="105"/>
      <c r="AC140" s="5"/>
      <c r="AD140" s="27"/>
      <c r="AE140" s="5"/>
      <c r="AF140" s="5"/>
      <c r="AG140" s="27"/>
      <c r="AH140" s="6"/>
      <c r="AI140" s="5"/>
      <c r="AJ140" s="27"/>
      <c r="AK140" s="5"/>
      <c r="AL140" s="5"/>
      <c r="AM140" s="27"/>
      <c r="AN140" s="31"/>
      <c r="AO140" s="5"/>
      <c r="AP140" s="27"/>
      <c r="AQ140" s="5"/>
      <c r="AR140" s="5"/>
      <c r="AS140" s="27"/>
      <c r="AT140" s="31"/>
      <c r="AU140" s="5"/>
      <c r="AV140" s="27"/>
      <c r="AW140" s="5"/>
      <c r="AX140" s="5"/>
      <c r="AY140" s="27"/>
      <c r="AZ140" s="31"/>
      <c r="BA140" s="5"/>
      <c r="BB140" s="27"/>
      <c r="BC140" s="5"/>
      <c r="BD140" s="5"/>
      <c r="BE140" s="27"/>
      <c r="BF140" s="28"/>
    </row>
    <row r="141" spans="3:58" x14ac:dyDescent="0.25">
      <c r="C141" s="5"/>
      <c r="D141" s="27"/>
      <c r="E141" s="5"/>
      <c r="F141" s="27"/>
      <c r="G141" s="6"/>
      <c r="H141" s="5"/>
      <c r="I141" s="27"/>
      <c r="J141" s="5"/>
      <c r="K141" s="27"/>
      <c r="L141" s="31"/>
      <c r="M141" s="5"/>
      <c r="N141" s="27"/>
      <c r="O141" s="5"/>
      <c r="P141" s="27"/>
      <c r="Q141" s="31"/>
      <c r="R141" s="5"/>
      <c r="S141" s="27"/>
      <c r="T141" s="5"/>
      <c r="U141" s="27"/>
      <c r="V141" s="31"/>
      <c r="W141" s="5"/>
      <c r="X141" s="27"/>
      <c r="Y141" s="5"/>
      <c r="Z141" s="27"/>
      <c r="AA141" s="28"/>
      <c r="AB141" s="105"/>
      <c r="AC141" s="5"/>
      <c r="AD141" s="27"/>
      <c r="AE141" s="5"/>
      <c r="AF141" s="5"/>
      <c r="AG141" s="27"/>
      <c r="AH141" s="6"/>
      <c r="AI141" s="5"/>
      <c r="AJ141" s="27"/>
      <c r="AK141" s="5"/>
      <c r="AL141" s="5"/>
      <c r="AM141" s="27"/>
      <c r="AN141" s="31"/>
      <c r="AO141" s="5"/>
      <c r="AP141" s="27"/>
      <c r="AQ141" s="5"/>
      <c r="AR141" s="5"/>
      <c r="AS141" s="27"/>
      <c r="AT141" s="31"/>
      <c r="AU141" s="5"/>
      <c r="AV141" s="27"/>
      <c r="AW141" s="5"/>
      <c r="AX141" s="5"/>
      <c r="AY141" s="27"/>
      <c r="AZ141" s="31"/>
      <c r="BA141" s="5"/>
      <c r="BB141" s="27"/>
      <c r="BC141" s="5"/>
      <c r="BD141" s="5"/>
      <c r="BE141" s="27"/>
      <c r="BF141" s="28"/>
    </row>
    <row r="142" spans="3:58" x14ac:dyDescent="0.25">
      <c r="C142" s="5"/>
      <c r="D142" s="27"/>
      <c r="E142" s="5"/>
      <c r="F142" s="27"/>
      <c r="G142" s="6"/>
      <c r="H142" s="5"/>
      <c r="I142" s="27"/>
      <c r="J142" s="5"/>
      <c r="K142" s="27"/>
      <c r="L142" s="31"/>
      <c r="M142" s="5"/>
      <c r="N142" s="27"/>
      <c r="O142" s="5"/>
      <c r="P142" s="27"/>
      <c r="Q142" s="31"/>
      <c r="R142" s="5"/>
      <c r="S142" s="27"/>
      <c r="T142" s="5"/>
      <c r="U142" s="27"/>
      <c r="V142" s="31"/>
      <c r="W142" s="5"/>
      <c r="X142" s="27"/>
      <c r="Y142" s="5"/>
      <c r="Z142" s="27"/>
      <c r="AA142" s="28"/>
      <c r="AB142" s="105"/>
      <c r="AC142" s="5"/>
      <c r="AD142" s="27"/>
      <c r="AE142" s="5"/>
      <c r="AF142" s="5"/>
      <c r="AG142" s="27"/>
      <c r="AH142" s="6"/>
      <c r="AI142" s="5"/>
      <c r="AJ142" s="27"/>
      <c r="AK142" s="5"/>
      <c r="AL142" s="5"/>
      <c r="AM142" s="27"/>
      <c r="AN142" s="31"/>
      <c r="AO142" s="5"/>
      <c r="AP142" s="27"/>
      <c r="AQ142" s="5"/>
      <c r="AR142" s="5"/>
      <c r="AS142" s="27"/>
      <c r="AT142" s="31"/>
      <c r="AU142" s="5"/>
      <c r="AV142" s="27"/>
      <c r="AW142" s="5"/>
      <c r="AX142" s="5"/>
      <c r="AY142" s="27"/>
      <c r="AZ142" s="31"/>
      <c r="BA142" s="5"/>
      <c r="BB142" s="27"/>
      <c r="BC142" s="5"/>
      <c r="BD142" s="5"/>
      <c r="BE142" s="27"/>
      <c r="BF142" s="28"/>
    </row>
    <row r="143" spans="3:58" x14ac:dyDescent="0.25">
      <c r="C143" s="5"/>
      <c r="D143" s="27"/>
      <c r="E143" s="5"/>
      <c r="F143" s="27"/>
      <c r="G143" s="6"/>
      <c r="H143" s="5"/>
      <c r="I143" s="27"/>
      <c r="J143" s="5"/>
      <c r="K143" s="27"/>
      <c r="L143" s="31"/>
      <c r="M143" s="5"/>
      <c r="N143" s="27"/>
      <c r="O143" s="5"/>
      <c r="P143" s="27"/>
      <c r="Q143" s="31"/>
      <c r="R143" s="5"/>
      <c r="S143" s="27"/>
      <c r="T143" s="5"/>
      <c r="U143" s="27"/>
      <c r="V143" s="31"/>
      <c r="W143" s="5"/>
      <c r="X143" s="27"/>
      <c r="Y143" s="5"/>
      <c r="Z143" s="27"/>
      <c r="AA143" s="28"/>
      <c r="AB143" s="105"/>
      <c r="AC143" s="5"/>
      <c r="AD143" s="27"/>
      <c r="AE143" s="5"/>
      <c r="AF143" s="5"/>
      <c r="AG143" s="27"/>
      <c r="AH143" s="6"/>
      <c r="AI143" s="5"/>
      <c r="AJ143" s="27"/>
      <c r="AK143" s="5"/>
      <c r="AL143" s="5"/>
      <c r="AM143" s="27"/>
      <c r="AN143" s="31"/>
      <c r="AO143" s="5"/>
      <c r="AP143" s="27"/>
      <c r="AQ143" s="5"/>
      <c r="AR143" s="5"/>
      <c r="AS143" s="27"/>
      <c r="AT143" s="31"/>
      <c r="AU143" s="5"/>
      <c r="AV143" s="27"/>
      <c r="AW143" s="5"/>
      <c r="AX143" s="5"/>
      <c r="AY143" s="27"/>
      <c r="AZ143" s="31"/>
      <c r="BA143" s="5"/>
      <c r="BB143" s="27"/>
      <c r="BC143" s="5"/>
      <c r="BD143" s="5"/>
      <c r="BE143" s="27"/>
      <c r="BF143" s="28"/>
    </row>
    <row r="144" spans="3:58" x14ac:dyDescent="0.25">
      <c r="C144" s="5"/>
      <c r="D144" s="27"/>
      <c r="E144" s="5"/>
      <c r="F144" s="27"/>
      <c r="G144" s="6"/>
      <c r="H144" s="5"/>
      <c r="I144" s="27"/>
      <c r="J144" s="5"/>
      <c r="K144" s="27"/>
      <c r="L144" s="31"/>
      <c r="M144" s="5"/>
      <c r="N144" s="27"/>
      <c r="O144" s="5"/>
      <c r="P144" s="27"/>
      <c r="Q144" s="31"/>
      <c r="R144" s="5"/>
      <c r="S144" s="27"/>
      <c r="T144" s="5"/>
      <c r="U144" s="27"/>
      <c r="V144" s="31"/>
      <c r="W144" s="5"/>
      <c r="X144" s="27"/>
      <c r="Y144" s="5"/>
      <c r="Z144" s="27"/>
      <c r="AA144" s="28"/>
      <c r="AB144" s="105"/>
      <c r="AC144" s="5"/>
      <c r="AD144" s="27"/>
      <c r="AE144" s="5"/>
      <c r="AF144" s="5"/>
      <c r="AG144" s="27"/>
      <c r="AH144" s="6"/>
      <c r="AI144" s="5"/>
      <c r="AJ144" s="27"/>
      <c r="AK144" s="5"/>
      <c r="AL144" s="5"/>
      <c r="AM144" s="27"/>
      <c r="AN144" s="31"/>
      <c r="AO144" s="5"/>
      <c r="AP144" s="27"/>
      <c r="AQ144" s="5"/>
      <c r="AR144" s="5"/>
      <c r="AS144" s="27"/>
      <c r="AT144" s="31"/>
      <c r="AU144" s="5"/>
      <c r="AV144" s="27"/>
      <c r="AW144" s="5"/>
      <c r="AX144" s="5"/>
      <c r="AY144" s="27"/>
      <c r="AZ144" s="31"/>
      <c r="BA144" s="5"/>
      <c r="BB144" s="27"/>
      <c r="BC144" s="5"/>
      <c r="BD144" s="5"/>
      <c r="BE144" s="27"/>
      <c r="BF144" s="28"/>
    </row>
    <row r="145" spans="3:58" x14ac:dyDescent="0.25">
      <c r="C145" s="5"/>
      <c r="D145" s="27"/>
      <c r="E145" s="5"/>
      <c r="F145" s="27"/>
      <c r="G145" s="6"/>
      <c r="H145" s="5"/>
      <c r="I145" s="27"/>
      <c r="J145" s="5"/>
      <c r="K145" s="27"/>
      <c r="L145" s="31"/>
      <c r="M145" s="5"/>
      <c r="N145" s="27"/>
      <c r="O145" s="5"/>
      <c r="P145" s="27"/>
      <c r="Q145" s="31"/>
      <c r="R145" s="5"/>
      <c r="S145" s="27"/>
      <c r="T145" s="5"/>
      <c r="U145" s="27"/>
      <c r="V145" s="31"/>
      <c r="W145" s="5"/>
      <c r="X145" s="27"/>
      <c r="Y145" s="5"/>
      <c r="Z145" s="27"/>
      <c r="AA145" s="28"/>
      <c r="AB145" s="105"/>
      <c r="AC145" s="5"/>
      <c r="AD145" s="27"/>
      <c r="AE145" s="5"/>
      <c r="AF145" s="5"/>
      <c r="AG145" s="27"/>
      <c r="AH145" s="6"/>
      <c r="AI145" s="5"/>
      <c r="AJ145" s="27"/>
      <c r="AK145" s="5"/>
      <c r="AL145" s="5"/>
      <c r="AM145" s="27"/>
      <c r="AN145" s="31"/>
      <c r="AO145" s="5"/>
      <c r="AP145" s="27"/>
      <c r="AQ145" s="5"/>
      <c r="AR145" s="5"/>
      <c r="AS145" s="27"/>
      <c r="AT145" s="31"/>
      <c r="AU145" s="5"/>
      <c r="AV145" s="27"/>
      <c r="AW145" s="5"/>
      <c r="AX145" s="5"/>
      <c r="AY145" s="27"/>
      <c r="AZ145" s="31"/>
      <c r="BA145" s="5"/>
      <c r="BB145" s="27"/>
      <c r="BC145" s="5"/>
      <c r="BD145" s="5"/>
      <c r="BE145" s="27"/>
      <c r="BF145" s="28"/>
    </row>
    <row r="146" spans="3:58" x14ac:dyDescent="0.25">
      <c r="C146" s="5"/>
      <c r="D146" s="27"/>
      <c r="E146" s="5"/>
      <c r="F146" s="27"/>
      <c r="G146" s="6"/>
      <c r="H146" s="5"/>
      <c r="I146" s="27"/>
      <c r="J146" s="5"/>
      <c r="K146" s="27"/>
      <c r="L146" s="31"/>
      <c r="M146" s="5"/>
      <c r="N146" s="27"/>
      <c r="O146" s="5"/>
      <c r="P146" s="27"/>
      <c r="Q146" s="31"/>
      <c r="R146" s="5"/>
      <c r="S146" s="27"/>
      <c r="T146" s="5"/>
      <c r="U146" s="27"/>
      <c r="V146" s="31"/>
      <c r="W146" s="5"/>
      <c r="X146" s="27"/>
      <c r="Y146" s="5"/>
      <c r="Z146" s="27"/>
      <c r="AA146" s="28"/>
      <c r="AB146" s="105"/>
      <c r="AC146" s="5"/>
      <c r="AD146" s="27"/>
      <c r="AE146" s="5"/>
      <c r="AF146" s="5"/>
      <c r="AG146" s="27"/>
      <c r="AH146" s="6"/>
      <c r="AI146" s="5"/>
      <c r="AJ146" s="27"/>
      <c r="AK146" s="5"/>
      <c r="AL146" s="5"/>
      <c r="AM146" s="27"/>
      <c r="AN146" s="31"/>
      <c r="AO146" s="5"/>
      <c r="AP146" s="27"/>
      <c r="AQ146" s="5"/>
      <c r="AR146" s="5"/>
      <c r="AS146" s="27"/>
      <c r="AT146" s="31"/>
      <c r="AU146" s="5"/>
      <c r="AV146" s="27"/>
      <c r="AW146" s="5"/>
      <c r="AX146" s="5"/>
      <c r="AY146" s="27"/>
      <c r="AZ146" s="31"/>
      <c r="BA146" s="5"/>
      <c r="BB146" s="27"/>
      <c r="BC146" s="5"/>
      <c r="BD146" s="5"/>
      <c r="BE146" s="27"/>
      <c r="BF146" s="28"/>
    </row>
    <row r="147" spans="3:58" x14ac:dyDescent="0.25">
      <c r="C147" s="5"/>
      <c r="D147" s="27"/>
      <c r="E147" s="5"/>
      <c r="F147" s="27"/>
      <c r="G147" s="6"/>
      <c r="H147" s="5"/>
      <c r="I147" s="27"/>
      <c r="J147" s="5"/>
      <c r="K147" s="27"/>
      <c r="L147" s="31"/>
      <c r="M147" s="5"/>
      <c r="N147" s="27"/>
      <c r="O147" s="5"/>
      <c r="P147" s="27"/>
      <c r="Q147" s="31"/>
      <c r="R147" s="5"/>
      <c r="S147" s="27"/>
      <c r="T147" s="5"/>
      <c r="U147" s="27"/>
      <c r="V147" s="31"/>
      <c r="W147" s="5"/>
      <c r="X147" s="27"/>
      <c r="Y147" s="5"/>
      <c r="Z147" s="27"/>
      <c r="AA147" s="28"/>
      <c r="AB147" s="105"/>
      <c r="AC147" s="5"/>
      <c r="AD147" s="27"/>
      <c r="AE147" s="5"/>
      <c r="AF147" s="5"/>
      <c r="AG147" s="27"/>
      <c r="AH147" s="6"/>
      <c r="AI147" s="5"/>
      <c r="AJ147" s="27"/>
      <c r="AK147" s="5"/>
      <c r="AL147" s="5"/>
      <c r="AM147" s="27"/>
      <c r="AN147" s="31"/>
      <c r="AO147" s="5"/>
      <c r="AP147" s="27"/>
      <c r="AQ147" s="5"/>
      <c r="AR147" s="5"/>
      <c r="AS147" s="27"/>
      <c r="AT147" s="31"/>
      <c r="AU147" s="5"/>
      <c r="AV147" s="27"/>
      <c r="AW147" s="5"/>
      <c r="AX147" s="5"/>
      <c r="AY147" s="27"/>
      <c r="AZ147" s="31"/>
      <c r="BA147" s="5"/>
      <c r="BB147" s="27"/>
      <c r="BC147" s="5"/>
      <c r="BD147" s="5"/>
      <c r="BE147" s="27"/>
      <c r="BF147" s="28"/>
    </row>
    <row r="148" spans="3:58" x14ac:dyDescent="0.25">
      <c r="C148" s="5"/>
      <c r="D148" s="27"/>
      <c r="E148" s="5"/>
      <c r="F148" s="27"/>
      <c r="G148" s="6"/>
      <c r="H148" s="5"/>
      <c r="I148" s="27"/>
      <c r="J148" s="5"/>
      <c r="K148" s="27"/>
      <c r="L148" s="31"/>
      <c r="M148" s="5"/>
      <c r="N148" s="27"/>
      <c r="O148" s="5"/>
      <c r="P148" s="27"/>
      <c r="Q148" s="31"/>
      <c r="R148" s="5"/>
      <c r="S148" s="27"/>
      <c r="T148" s="5"/>
      <c r="U148" s="27"/>
      <c r="V148" s="31"/>
      <c r="W148" s="5"/>
      <c r="X148" s="27"/>
      <c r="Y148" s="5"/>
      <c r="Z148" s="27"/>
      <c r="AA148" s="28"/>
      <c r="AB148" s="105"/>
      <c r="AC148" s="5"/>
      <c r="AD148" s="27"/>
      <c r="AE148" s="5"/>
      <c r="AF148" s="5"/>
      <c r="AG148" s="27"/>
      <c r="AH148" s="6"/>
      <c r="AI148" s="5"/>
      <c r="AJ148" s="27"/>
      <c r="AK148" s="5"/>
      <c r="AL148" s="5"/>
      <c r="AM148" s="27"/>
      <c r="AN148" s="31"/>
      <c r="AO148" s="5"/>
      <c r="AP148" s="27"/>
      <c r="AQ148" s="5"/>
      <c r="AR148" s="5"/>
      <c r="AS148" s="27"/>
      <c r="AT148" s="31"/>
      <c r="AU148" s="5"/>
      <c r="AV148" s="27"/>
      <c r="AW148" s="5"/>
      <c r="AX148" s="5"/>
      <c r="AY148" s="27"/>
      <c r="AZ148" s="31"/>
      <c r="BA148" s="5"/>
      <c r="BB148" s="27"/>
      <c r="BC148" s="5"/>
      <c r="BD148" s="5"/>
      <c r="BE148" s="27"/>
      <c r="BF148" s="28"/>
    </row>
    <row r="149" spans="3:58" x14ac:dyDescent="0.25">
      <c r="C149" s="5"/>
      <c r="D149" s="27"/>
      <c r="E149" s="5"/>
      <c r="F149" s="27"/>
      <c r="G149" s="6"/>
      <c r="H149" s="5"/>
      <c r="I149" s="27"/>
      <c r="J149" s="5"/>
      <c r="K149" s="27"/>
      <c r="L149" s="31"/>
      <c r="M149" s="5"/>
      <c r="N149" s="27"/>
      <c r="O149" s="5"/>
      <c r="P149" s="27"/>
      <c r="Q149" s="31"/>
      <c r="R149" s="5"/>
      <c r="S149" s="27"/>
      <c r="T149" s="5"/>
      <c r="U149" s="27"/>
      <c r="V149" s="31"/>
      <c r="W149" s="5"/>
      <c r="X149" s="27"/>
      <c r="Y149" s="5"/>
      <c r="Z149" s="27"/>
      <c r="AA149" s="28"/>
      <c r="AB149" s="105"/>
      <c r="AC149" s="5"/>
      <c r="AD149" s="27"/>
      <c r="AE149" s="5"/>
      <c r="AF149" s="5"/>
      <c r="AG149" s="27"/>
      <c r="AH149" s="6"/>
      <c r="AI149" s="5"/>
      <c r="AJ149" s="27"/>
      <c r="AK149" s="5"/>
      <c r="AL149" s="5"/>
      <c r="AM149" s="27"/>
      <c r="AN149" s="31"/>
      <c r="AO149" s="5"/>
      <c r="AP149" s="27"/>
      <c r="AQ149" s="5"/>
      <c r="AR149" s="5"/>
      <c r="AS149" s="27"/>
      <c r="AT149" s="31"/>
      <c r="AU149" s="5"/>
      <c r="AV149" s="27"/>
      <c r="AW149" s="5"/>
      <c r="AX149" s="5"/>
      <c r="AY149" s="27"/>
      <c r="AZ149" s="31"/>
      <c r="BA149" s="5"/>
      <c r="BB149" s="27"/>
      <c r="BC149" s="5"/>
      <c r="BD149" s="5"/>
      <c r="BE149" s="27"/>
      <c r="BF149" s="28"/>
    </row>
    <row r="150" spans="3:58" x14ac:dyDescent="0.25">
      <c r="C150" s="5"/>
      <c r="D150" s="27"/>
      <c r="E150" s="5"/>
      <c r="F150" s="27"/>
      <c r="G150" s="6"/>
      <c r="H150" s="5"/>
      <c r="I150" s="27"/>
      <c r="J150" s="5"/>
      <c r="K150" s="27"/>
      <c r="L150" s="31"/>
      <c r="M150" s="5"/>
      <c r="N150" s="27"/>
      <c r="O150" s="5"/>
      <c r="P150" s="27"/>
      <c r="Q150" s="31"/>
      <c r="R150" s="5"/>
      <c r="S150" s="27"/>
      <c r="T150" s="5"/>
      <c r="U150" s="27"/>
      <c r="V150" s="31"/>
      <c r="W150" s="5"/>
      <c r="X150" s="27"/>
      <c r="Y150" s="5"/>
      <c r="Z150" s="27"/>
      <c r="AA150" s="28"/>
      <c r="AB150" s="105"/>
      <c r="AC150" s="5"/>
      <c r="AD150" s="27"/>
      <c r="AE150" s="5"/>
      <c r="AF150" s="5"/>
      <c r="AG150" s="27"/>
      <c r="AH150" s="6"/>
      <c r="AI150" s="5"/>
      <c r="AJ150" s="27"/>
      <c r="AK150" s="5"/>
      <c r="AL150" s="5"/>
      <c r="AM150" s="27"/>
      <c r="AN150" s="31"/>
      <c r="AO150" s="5"/>
      <c r="AP150" s="27"/>
      <c r="AQ150" s="5"/>
      <c r="AR150" s="5"/>
      <c r="AS150" s="27"/>
      <c r="AT150" s="31"/>
      <c r="AU150" s="5"/>
      <c r="AV150" s="27"/>
      <c r="AW150" s="5"/>
      <c r="AX150" s="5"/>
      <c r="AY150" s="27"/>
      <c r="AZ150" s="31"/>
      <c r="BA150" s="5"/>
      <c r="BB150" s="27"/>
      <c r="BC150" s="5"/>
      <c r="BD150" s="5"/>
      <c r="BE150" s="27"/>
      <c r="BF150" s="28"/>
    </row>
    <row r="151" spans="3:58" x14ac:dyDescent="0.25">
      <c r="C151" s="5"/>
      <c r="D151" s="27"/>
      <c r="E151" s="5"/>
      <c r="F151" s="27"/>
      <c r="G151" s="6"/>
      <c r="H151" s="5"/>
      <c r="I151" s="27"/>
      <c r="J151" s="5"/>
      <c r="K151" s="27"/>
      <c r="L151" s="31"/>
      <c r="M151" s="5"/>
      <c r="N151" s="27"/>
      <c r="O151" s="5"/>
      <c r="P151" s="27"/>
      <c r="Q151" s="31"/>
      <c r="R151" s="5"/>
      <c r="S151" s="27"/>
      <c r="T151" s="5"/>
      <c r="U151" s="27"/>
      <c r="V151" s="31"/>
      <c r="W151" s="5"/>
      <c r="X151" s="27"/>
      <c r="Y151" s="5"/>
      <c r="Z151" s="27"/>
      <c r="AA151" s="28"/>
      <c r="AB151" s="105"/>
      <c r="AC151" s="5"/>
      <c r="AD151" s="27"/>
      <c r="AE151" s="5"/>
      <c r="AF151" s="5"/>
      <c r="AG151" s="27"/>
      <c r="AH151" s="6"/>
      <c r="AI151" s="5"/>
      <c r="AJ151" s="27"/>
      <c r="AK151" s="5"/>
      <c r="AL151" s="5"/>
      <c r="AM151" s="27"/>
      <c r="AN151" s="31"/>
      <c r="AO151" s="5"/>
      <c r="AP151" s="27"/>
      <c r="AQ151" s="5"/>
      <c r="AR151" s="5"/>
      <c r="AS151" s="27"/>
      <c r="AT151" s="31"/>
      <c r="AU151" s="5"/>
      <c r="AV151" s="27"/>
      <c r="AW151" s="5"/>
      <c r="AX151" s="5"/>
      <c r="AY151" s="27"/>
      <c r="AZ151" s="31"/>
      <c r="BA151" s="5"/>
      <c r="BB151" s="27"/>
      <c r="BC151" s="5"/>
      <c r="BD151" s="5"/>
      <c r="BE151" s="27"/>
      <c r="BF151" s="28"/>
    </row>
    <row r="152" spans="3:58" x14ac:dyDescent="0.25">
      <c r="C152" s="5"/>
      <c r="D152" s="27"/>
      <c r="E152" s="5"/>
      <c r="F152" s="27"/>
      <c r="G152" s="6"/>
      <c r="H152" s="5"/>
      <c r="I152" s="27"/>
      <c r="J152" s="5"/>
      <c r="K152" s="27"/>
      <c r="L152" s="31"/>
      <c r="M152" s="5"/>
      <c r="N152" s="27"/>
      <c r="O152" s="5"/>
      <c r="P152" s="27"/>
      <c r="Q152" s="31"/>
      <c r="R152" s="5"/>
      <c r="S152" s="27"/>
      <c r="T152" s="5"/>
      <c r="U152" s="27"/>
      <c r="V152" s="31"/>
      <c r="W152" s="5"/>
      <c r="X152" s="27"/>
      <c r="Y152" s="5"/>
      <c r="Z152" s="27"/>
      <c r="AA152" s="28"/>
      <c r="AB152" s="105"/>
      <c r="AC152" s="5"/>
      <c r="AD152" s="27"/>
      <c r="AE152" s="5"/>
      <c r="AF152" s="5"/>
      <c r="AG152" s="27"/>
      <c r="AH152" s="6"/>
      <c r="AI152" s="5"/>
      <c r="AJ152" s="27"/>
      <c r="AK152" s="5"/>
      <c r="AL152" s="5"/>
      <c r="AM152" s="27"/>
      <c r="AN152" s="31"/>
      <c r="AO152" s="5"/>
      <c r="AP152" s="27"/>
      <c r="AQ152" s="5"/>
      <c r="AR152" s="5"/>
      <c r="AS152" s="27"/>
      <c r="AT152" s="31"/>
      <c r="AU152" s="5"/>
      <c r="AV152" s="27"/>
      <c r="AW152" s="5"/>
      <c r="AX152" s="5"/>
      <c r="AY152" s="27"/>
      <c r="AZ152" s="31"/>
      <c r="BA152" s="5"/>
      <c r="BB152" s="27"/>
      <c r="BC152" s="5"/>
      <c r="BD152" s="5"/>
      <c r="BE152" s="27"/>
      <c r="BF152" s="28"/>
    </row>
    <row r="153" spans="3:58" x14ac:dyDescent="0.25">
      <c r="C153" s="5"/>
      <c r="D153" s="27"/>
      <c r="E153" s="5"/>
      <c r="F153" s="27"/>
      <c r="G153" s="6"/>
      <c r="H153" s="5"/>
      <c r="I153" s="27"/>
      <c r="J153" s="5"/>
      <c r="K153" s="27"/>
      <c r="L153" s="31"/>
      <c r="M153" s="5"/>
      <c r="N153" s="27"/>
      <c r="O153" s="5"/>
      <c r="P153" s="27"/>
      <c r="Q153" s="31"/>
      <c r="R153" s="5"/>
      <c r="S153" s="27"/>
      <c r="T153" s="5"/>
      <c r="U153" s="27"/>
      <c r="V153" s="31"/>
      <c r="W153" s="5"/>
      <c r="X153" s="27"/>
      <c r="Y153" s="5"/>
      <c r="Z153" s="27"/>
      <c r="AA153" s="28"/>
      <c r="AB153" s="105"/>
      <c r="AC153" s="5"/>
      <c r="AD153" s="27"/>
      <c r="AE153" s="5"/>
      <c r="AF153" s="5"/>
      <c r="AG153" s="27"/>
      <c r="AH153" s="6"/>
      <c r="AI153" s="5"/>
      <c r="AJ153" s="27"/>
      <c r="AK153" s="5"/>
      <c r="AL153" s="5"/>
      <c r="AM153" s="27"/>
      <c r="AN153" s="31"/>
      <c r="AO153" s="5"/>
      <c r="AP153" s="27"/>
      <c r="AQ153" s="5"/>
      <c r="AR153" s="5"/>
      <c r="AS153" s="27"/>
      <c r="AT153" s="31"/>
      <c r="AU153" s="5"/>
      <c r="AV153" s="27"/>
      <c r="AW153" s="5"/>
      <c r="AX153" s="5"/>
      <c r="AY153" s="27"/>
      <c r="AZ153" s="31"/>
      <c r="BA153" s="5"/>
      <c r="BB153" s="27"/>
      <c r="BC153" s="5"/>
      <c r="BD153" s="5"/>
      <c r="BE153" s="27"/>
      <c r="BF153" s="28"/>
    </row>
    <row r="154" spans="3:58" x14ac:dyDescent="0.25">
      <c r="C154" s="5"/>
      <c r="D154" s="27"/>
      <c r="E154" s="5"/>
      <c r="F154" s="27"/>
      <c r="G154" s="6"/>
      <c r="H154" s="5"/>
      <c r="I154" s="27"/>
      <c r="J154" s="5"/>
      <c r="K154" s="27"/>
      <c r="L154" s="31"/>
      <c r="M154" s="5"/>
      <c r="N154" s="27"/>
      <c r="O154" s="5"/>
      <c r="P154" s="27"/>
      <c r="Q154" s="31"/>
      <c r="R154" s="5"/>
      <c r="S154" s="27"/>
      <c r="T154" s="5"/>
      <c r="U154" s="27"/>
      <c r="V154" s="31"/>
      <c r="W154" s="5"/>
      <c r="X154" s="27"/>
      <c r="Y154" s="5"/>
      <c r="Z154" s="27"/>
      <c r="AA154" s="28"/>
      <c r="AB154" s="105"/>
      <c r="AC154" s="5"/>
      <c r="AD154" s="27"/>
      <c r="AE154" s="5"/>
      <c r="AF154" s="5"/>
      <c r="AG154" s="27"/>
      <c r="AH154" s="6"/>
      <c r="AI154" s="5"/>
      <c r="AJ154" s="27"/>
      <c r="AK154" s="5"/>
      <c r="AL154" s="5"/>
      <c r="AM154" s="27"/>
      <c r="AN154" s="31"/>
      <c r="AO154" s="5"/>
      <c r="AP154" s="27"/>
      <c r="AQ154" s="5"/>
      <c r="AR154" s="5"/>
      <c r="AS154" s="27"/>
      <c r="AT154" s="31"/>
      <c r="AU154" s="5"/>
      <c r="AV154" s="27"/>
      <c r="AW154" s="5"/>
      <c r="AX154" s="5"/>
      <c r="AY154" s="27"/>
      <c r="AZ154" s="31"/>
      <c r="BA154" s="5"/>
      <c r="BB154" s="27"/>
      <c r="BC154" s="5"/>
      <c r="BD154" s="5"/>
      <c r="BE154" s="27"/>
      <c r="BF154" s="28"/>
    </row>
    <row r="155" spans="3:58" x14ac:dyDescent="0.25">
      <c r="C155" s="5"/>
      <c r="D155" s="27"/>
      <c r="E155" s="5"/>
      <c r="F155" s="27"/>
      <c r="G155" s="6"/>
      <c r="H155" s="5"/>
      <c r="I155" s="27"/>
      <c r="J155" s="5"/>
      <c r="K155" s="27"/>
      <c r="L155" s="31"/>
      <c r="M155" s="5"/>
      <c r="N155" s="27"/>
      <c r="O155" s="5"/>
      <c r="P155" s="27"/>
      <c r="Q155" s="31"/>
      <c r="R155" s="5"/>
      <c r="S155" s="27"/>
      <c r="T155" s="5"/>
      <c r="U155" s="27"/>
      <c r="V155" s="31"/>
      <c r="W155" s="5"/>
      <c r="X155" s="27"/>
      <c r="Y155" s="5"/>
      <c r="Z155" s="27"/>
      <c r="AA155" s="28"/>
      <c r="AB155" s="105"/>
      <c r="AC155" s="5"/>
      <c r="AD155" s="27"/>
      <c r="AE155" s="5"/>
      <c r="AF155" s="5"/>
      <c r="AG155" s="27"/>
      <c r="AH155" s="6"/>
      <c r="AI155" s="5"/>
      <c r="AJ155" s="27"/>
      <c r="AK155" s="5"/>
      <c r="AL155" s="5"/>
      <c r="AM155" s="27"/>
      <c r="AN155" s="31"/>
      <c r="AO155" s="5"/>
      <c r="AP155" s="27"/>
      <c r="AQ155" s="5"/>
      <c r="AR155" s="5"/>
      <c r="AS155" s="27"/>
      <c r="AT155" s="31"/>
      <c r="AU155" s="5"/>
      <c r="AV155" s="27"/>
      <c r="AW155" s="5"/>
      <c r="AX155" s="5"/>
      <c r="AY155" s="27"/>
      <c r="AZ155" s="31"/>
      <c r="BA155" s="5"/>
      <c r="BB155" s="27"/>
      <c r="BC155" s="5"/>
      <c r="BD155" s="5"/>
      <c r="BE155" s="27"/>
      <c r="BF155" s="28"/>
    </row>
    <row r="156" spans="3:58" x14ac:dyDescent="0.25">
      <c r="C156" s="5"/>
      <c r="D156" s="27"/>
      <c r="E156" s="5"/>
      <c r="F156" s="27"/>
      <c r="G156" s="6"/>
      <c r="H156" s="5"/>
      <c r="I156" s="27"/>
      <c r="J156" s="5"/>
      <c r="K156" s="27"/>
      <c r="L156" s="31"/>
      <c r="M156" s="5"/>
      <c r="N156" s="27"/>
      <c r="O156" s="5"/>
      <c r="P156" s="27"/>
      <c r="Q156" s="31"/>
      <c r="R156" s="5"/>
      <c r="S156" s="27"/>
      <c r="T156" s="5"/>
      <c r="U156" s="27"/>
      <c r="V156" s="31"/>
      <c r="W156" s="5"/>
      <c r="X156" s="27"/>
      <c r="Y156" s="5"/>
      <c r="Z156" s="27"/>
      <c r="AA156" s="28"/>
      <c r="AB156" s="105"/>
      <c r="AC156" s="5"/>
      <c r="AD156" s="27"/>
      <c r="AE156" s="5"/>
      <c r="AF156" s="5"/>
      <c r="AG156" s="27"/>
      <c r="AH156" s="6"/>
      <c r="AI156" s="5"/>
      <c r="AJ156" s="27"/>
      <c r="AK156" s="5"/>
      <c r="AL156" s="5"/>
      <c r="AM156" s="27"/>
      <c r="AN156" s="31"/>
      <c r="AO156" s="5"/>
      <c r="AP156" s="27"/>
      <c r="AQ156" s="5"/>
      <c r="AR156" s="5"/>
      <c r="AS156" s="27"/>
      <c r="AT156" s="31"/>
      <c r="AU156" s="5"/>
      <c r="AV156" s="27"/>
      <c r="AW156" s="5"/>
      <c r="AX156" s="5"/>
      <c r="AY156" s="27"/>
      <c r="AZ156" s="31"/>
      <c r="BA156" s="5"/>
      <c r="BB156" s="27"/>
      <c r="BC156" s="5"/>
      <c r="BD156" s="5"/>
      <c r="BE156" s="27"/>
      <c r="BF156" s="28"/>
    </row>
    <row r="157" spans="3:58" x14ac:dyDescent="0.25">
      <c r="C157" s="5"/>
      <c r="D157" s="27"/>
      <c r="E157" s="5"/>
      <c r="F157" s="27"/>
      <c r="G157" s="6"/>
      <c r="H157" s="5"/>
      <c r="I157" s="27"/>
      <c r="J157" s="5"/>
      <c r="K157" s="27"/>
      <c r="L157" s="31"/>
      <c r="M157" s="5"/>
      <c r="N157" s="27"/>
      <c r="O157" s="5"/>
      <c r="P157" s="27"/>
      <c r="Q157" s="31"/>
      <c r="R157" s="5"/>
      <c r="S157" s="27"/>
      <c r="T157" s="5"/>
      <c r="U157" s="27"/>
      <c r="V157" s="31"/>
      <c r="W157" s="5"/>
      <c r="X157" s="27"/>
      <c r="Y157" s="5"/>
      <c r="Z157" s="27"/>
      <c r="AA157" s="28"/>
      <c r="AB157" s="105"/>
      <c r="AC157" s="5"/>
      <c r="AD157" s="27"/>
      <c r="AE157" s="5"/>
      <c r="AF157" s="5"/>
      <c r="AG157" s="27"/>
      <c r="AH157" s="6"/>
      <c r="AI157" s="5"/>
      <c r="AJ157" s="27"/>
      <c r="AK157" s="5"/>
      <c r="AL157" s="5"/>
      <c r="AM157" s="27"/>
      <c r="AN157" s="31"/>
      <c r="AO157" s="5"/>
      <c r="AP157" s="27"/>
      <c r="AQ157" s="5"/>
      <c r="AR157" s="5"/>
      <c r="AS157" s="27"/>
      <c r="AT157" s="31"/>
      <c r="AU157" s="5"/>
      <c r="AV157" s="27"/>
      <c r="AW157" s="5"/>
      <c r="AX157" s="5"/>
      <c r="AY157" s="27"/>
      <c r="AZ157" s="31"/>
      <c r="BA157" s="5"/>
      <c r="BB157" s="27"/>
      <c r="BC157" s="5"/>
      <c r="BD157" s="5"/>
      <c r="BE157" s="27"/>
      <c r="BF157" s="28"/>
    </row>
    <row r="158" spans="3:58" x14ac:dyDescent="0.25">
      <c r="C158" s="5"/>
      <c r="D158" s="27"/>
      <c r="E158" s="5"/>
      <c r="F158" s="27"/>
      <c r="G158" s="6"/>
      <c r="H158" s="5"/>
      <c r="I158" s="27"/>
      <c r="J158" s="5"/>
      <c r="K158" s="27"/>
      <c r="L158" s="31"/>
      <c r="M158" s="5"/>
      <c r="N158" s="27"/>
      <c r="O158" s="5"/>
      <c r="P158" s="27"/>
      <c r="Q158" s="31"/>
      <c r="R158" s="5"/>
      <c r="S158" s="27"/>
      <c r="T158" s="5"/>
      <c r="U158" s="27"/>
      <c r="V158" s="31"/>
      <c r="W158" s="5"/>
      <c r="X158" s="27"/>
      <c r="Y158" s="5"/>
      <c r="Z158" s="27"/>
      <c r="AA158" s="28"/>
      <c r="AB158" s="105"/>
      <c r="AC158" s="5"/>
      <c r="AD158" s="27"/>
      <c r="AE158" s="5"/>
      <c r="AF158" s="5"/>
      <c r="AG158" s="27"/>
      <c r="AH158" s="6"/>
      <c r="AI158" s="5"/>
      <c r="AJ158" s="27"/>
      <c r="AK158" s="5"/>
      <c r="AL158" s="5"/>
      <c r="AM158" s="27"/>
      <c r="AN158" s="31"/>
      <c r="AO158" s="5"/>
      <c r="AP158" s="27"/>
      <c r="AQ158" s="5"/>
      <c r="AR158" s="5"/>
      <c r="AS158" s="27"/>
      <c r="AT158" s="31"/>
      <c r="AU158" s="5"/>
      <c r="AV158" s="27"/>
      <c r="AW158" s="5"/>
      <c r="AX158" s="5"/>
      <c r="AY158" s="27"/>
      <c r="AZ158" s="31"/>
      <c r="BA158" s="5"/>
      <c r="BB158" s="27"/>
      <c r="BC158" s="5"/>
      <c r="BD158" s="5"/>
      <c r="BE158" s="27"/>
      <c r="BF158" s="28"/>
    </row>
    <row r="159" spans="3:58" x14ac:dyDescent="0.25">
      <c r="C159" s="5"/>
      <c r="D159" s="27"/>
      <c r="E159" s="5"/>
      <c r="F159" s="27"/>
      <c r="G159" s="6"/>
      <c r="H159" s="5"/>
      <c r="I159" s="27"/>
      <c r="J159" s="5"/>
      <c r="K159" s="27"/>
      <c r="L159" s="31"/>
      <c r="M159" s="5"/>
      <c r="N159" s="27"/>
      <c r="O159" s="5"/>
      <c r="P159" s="27"/>
      <c r="Q159" s="31"/>
      <c r="R159" s="5"/>
      <c r="S159" s="27"/>
      <c r="T159" s="5"/>
      <c r="U159" s="27"/>
      <c r="V159" s="31"/>
      <c r="W159" s="5"/>
      <c r="X159" s="27"/>
      <c r="Y159" s="5"/>
      <c r="Z159" s="27"/>
      <c r="AA159" s="28"/>
      <c r="AB159" s="105"/>
      <c r="AC159" s="5"/>
      <c r="AD159" s="27"/>
      <c r="AE159" s="5"/>
      <c r="AF159" s="5"/>
      <c r="AG159" s="27"/>
      <c r="AH159" s="6"/>
      <c r="AI159" s="5"/>
      <c r="AJ159" s="27"/>
      <c r="AK159" s="5"/>
      <c r="AL159" s="5"/>
      <c r="AM159" s="27"/>
      <c r="AN159" s="31"/>
      <c r="AO159" s="5"/>
      <c r="AP159" s="27"/>
      <c r="AQ159" s="5"/>
      <c r="AR159" s="5"/>
      <c r="AS159" s="27"/>
      <c r="AT159" s="31"/>
      <c r="AU159" s="5"/>
      <c r="AV159" s="27"/>
      <c r="AW159" s="5"/>
      <c r="AX159" s="5"/>
      <c r="AY159" s="27"/>
      <c r="AZ159" s="31"/>
      <c r="BA159" s="5"/>
      <c r="BB159" s="27"/>
      <c r="BC159" s="5"/>
      <c r="BD159" s="5"/>
      <c r="BE159" s="27"/>
      <c r="BF159" s="28"/>
    </row>
    <row r="160" spans="3:58" x14ac:dyDescent="0.25">
      <c r="C160" s="5"/>
      <c r="D160" s="27"/>
      <c r="E160" s="5"/>
      <c r="F160" s="27"/>
      <c r="G160" s="6"/>
      <c r="H160" s="5"/>
      <c r="I160" s="27"/>
      <c r="J160" s="5"/>
      <c r="K160" s="27"/>
      <c r="L160" s="31"/>
      <c r="M160" s="5"/>
      <c r="N160" s="27"/>
      <c r="O160" s="5"/>
      <c r="P160" s="27"/>
      <c r="Q160" s="31"/>
      <c r="R160" s="5"/>
      <c r="S160" s="27"/>
      <c r="T160" s="5"/>
      <c r="U160" s="27"/>
      <c r="V160" s="31"/>
      <c r="W160" s="5"/>
      <c r="X160" s="27"/>
      <c r="Y160" s="5"/>
      <c r="Z160" s="27"/>
      <c r="AA160" s="28"/>
      <c r="AB160" s="105"/>
      <c r="AC160" s="5"/>
      <c r="AD160" s="27"/>
      <c r="AE160" s="5"/>
      <c r="AF160" s="5"/>
      <c r="AG160" s="27"/>
      <c r="AH160" s="6"/>
      <c r="AI160" s="5"/>
      <c r="AJ160" s="27"/>
      <c r="AK160" s="5"/>
      <c r="AL160" s="5"/>
      <c r="AM160" s="27"/>
      <c r="AN160" s="31"/>
      <c r="AO160" s="5"/>
      <c r="AP160" s="27"/>
      <c r="AQ160" s="5"/>
      <c r="AR160" s="5"/>
      <c r="AS160" s="27"/>
      <c r="AT160" s="31"/>
      <c r="AU160" s="5"/>
      <c r="AV160" s="27"/>
      <c r="AW160" s="5"/>
      <c r="AX160" s="5"/>
      <c r="AY160" s="27"/>
      <c r="AZ160" s="31"/>
      <c r="BA160" s="5"/>
      <c r="BB160" s="27"/>
      <c r="BC160" s="5"/>
      <c r="BD160" s="5"/>
      <c r="BE160" s="27"/>
      <c r="BF160" s="28"/>
    </row>
    <row r="161" spans="3:58" x14ac:dyDescent="0.25">
      <c r="C161" s="5"/>
      <c r="D161" s="27"/>
      <c r="E161" s="5"/>
      <c r="F161" s="27"/>
      <c r="G161" s="6"/>
      <c r="H161" s="5"/>
      <c r="I161" s="27"/>
      <c r="J161" s="5"/>
      <c r="K161" s="27"/>
      <c r="L161" s="31"/>
      <c r="M161" s="5"/>
      <c r="N161" s="27"/>
      <c r="O161" s="5"/>
      <c r="P161" s="27"/>
      <c r="Q161" s="31"/>
      <c r="R161" s="5"/>
      <c r="S161" s="27"/>
      <c r="T161" s="5"/>
      <c r="U161" s="27"/>
      <c r="V161" s="31"/>
      <c r="W161" s="5"/>
      <c r="X161" s="27"/>
      <c r="Y161" s="5"/>
      <c r="Z161" s="27"/>
      <c r="AA161" s="28"/>
      <c r="AB161" s="105"/>
      <c r="AC161" s="5"/>
      <c r="AD161" s="27"/>
      <c r="AE161" s="5"/>
      <c r="AF161" s="5"/>
      <c r="AG161" s="27"/>
      <c r="AH161" s="6"/>
      <c r="AI161" s="5"/>
      <c r="AJ161" s="27"/>
      <c r="AK161" s="5"/>
      <c r="AL161" s="5"/>
      <c r="AM161" s="27"/>
      <c r="AN161" s="31"/>
      <c r="AO161" s="5"/>
      <c r="AP161" s="27"/>
      <c r="AQ161" s="5"/>
      <c r="AR161" s="5"/>
      <c r="AS161" s="27"/>
      <c r="AT161" s="31"/>
      <c r="AU161" s="5"/>
      <c r="AV161" s="27"/>
      <c r="AW161" s="5"/>
      <c r="AX161" s="5"/>
      <c r="AY161" s="27"/>
      <c r="AZ161" s="31"/>
      <c r="BA161" s="5"/>
      <c r="BB161" s="27"/>
      <c r="BC161" s="5"/>
      <c r="BD161" s="5"/>
      <c r="BE161" s="27"/>
      <c r="BF161" s="28"/>
    </row>
    <row r="162" spans="3:58" x14ac:dyDescent="0.25">
      <c r="C162" s="5"/>
      <c r="D162" s="27"/>
      <c r="E162" s="5"/>
      <c r="F162" s="27"/>
      <c r="G162" s="6"/>
      <c r="H162" s="5"/>
      <c r="I162" s="27"/>
      <c r="J162" s="5"/>
      <c r="K162" s="27"/>
      <c r="L162" s="31"/>
      <c r="M162" s="5"/>
      <c r="N162" s="27"/>
      <c r="O162" s="5"/>
      <c r="P162" s="27"/>
      <c r="Q162" s="31"/>
      <c r="R162" s="5"/>
      <c r="S162" s="27"/>
      <c r="T162" s="5"/>
      <c r="U162" s="27"/>
      <c r="V162" s="31"/>
      <c r="W162" s="5"/>
      <c r="X162" s="27"/>
      <c r="Y162" s="5"/>
      <c r="Z162" s="27"/>
      <c r="AA162" s="28"/>
      <c r="AB162" s="105"/>
      <c r="AC162" s="5"/>
      <c r="AD162" s="27"/>
      <c r="AE162" s="5"/>
      <c r="AF162" s="5"/>
      <c r="AG162" s="27"/>
      <c r="AH162" s="6"/>
      <c r="AI162" s="5"/>
      <c r="AJ162" s="27"/>
      <c r="AK162" s="5"/>
      <c r="AL162" s="5"/>
      <c r="AM162" s="27"/>
      <c r="AN162" s="31"/>
      <c r="AO162" s="5"/>
      <c r="AP162" s="27"/>
      <c r="AQ162" s="5"/>
      <c r="AR162" s="5"/>
      <c r="AS162" s="27"/>
      <c r="AT162" s="31"/>
      <c r="AU162" s="5"/>
      <c r="AV162" s="27"/>
      <c r="AW162" s="5"/>
      <c r="AX162" s="5"/>
      <c r="AY162" s="27"/>
      <c r="AZ162" s="31"/>
      <c r="BA162" s="5"/>
      <c r="BB162" s="27"/>
      <c r="BC162" s="5"/>
      <c r="BD162" s="5"/>
      <c r="BE162" s="27"/>
      <c r="BF162" s="28"/>
    </row>
    <row r="163" spans="3:58" x14ac:dyDescent="0.25">
      <c r="C163" s="5"/>
      <c r="D163" s="27"/>
      <c r="E163" s="5"/>
      <c r="F163" s="27"/>
      <c r="G163" s="6"/>
      <c r="H163" s="5"/>
      <c r="I163" s="27"/>
      <c r="J163" s="5"/>
      <c r="K163" s="27"/>
      <c r="L163" s="31"/>
      <c r="M163" s="5"/>
      <c r="N163" s="27"/>
      <c r="O163" s="5"/>
      <c r="P163" s="27"/>
      <c r="Q163" s="31"/>
      <c r="R163" s="5"/>
      <c r="S163" s="27"/>
      <c r="T163" s="5"/>
      <c r="U163" s="27"/>
      <c r="V163" s="31"/>
      <c r="W163" s="5"/>
      <c r="X163" s="27"/>
      <c r="Y163" s="5"/>
      <c r="Z163" s="27"/>
      <c r="AA163" s="28"/>
      <c r="AB163" s="105"/>
      <c r="AC163" s="5"/>
      <c r="AD163" s="27"/>
      <c r="AE163" s="5"/>
      <c r="AF163" s="5"/>
      <c r="AG163" s="27"/>
      <c r="AH163" s="6"/>
      <c r="AI163" s="5"/>
      <c r="AJ163" s="27"/>
      <c r="AK163" s="5"/>
      <c r="AL163" s="5"/>
      <c r="AM163" s="27"/>
      <c r="AN163" s="31"/>
      <c r="AO163" s="5"/>
      <c r="AP163" s="27"/>
      <c r="AQ163" s="5"/>
      <c r="AR163" s="5"/>
      <c r="AS163" s="27"/>
      <c r="AT163" s="31"/>
      <c r="AU163" s="5"/>
      <c r="AV163" s="27"/>
      <c r="AW163" s="5"/>
      <c r="AX163" s="5"/>
      <c r="AY163" s="27"/>
      <c r="AZ163" s="31"/>
      <c r="BA163" s="5"/>
      <c r="BB163" s="27"/>
      <c r="BC163" s="5"/>
      <c r="BD163" s="5"/>
      <c r="BE163" s="27"/>
      <c r="BF163" s="28"/>
    </row>
    <row r="164" spans="3:58" x14ac:dyDescent="0.25">
      <c r="C164" s="5"/>
      <c r="D164" s="27"/>
      <c r="E164" s="5"/>
      <c r="F164" s="27"/>
      <c r="G164" s="6"/>
      <c r="H164" s="5"/>
      <c r="I164" s="27"/>
      <c r="J164" s="5"/>
      <c r="K164" s="27"/>
      <c r="L164" s="31"/>
      <c r="M164" s="5"/>
      <c r="N164" s="27"/>
      <c r="O164" s="5"/>
      <c r="P164" s="27"/>
      <c r="Q164" s="31"/>
      <c r="R164" s="5"/>
      <c r="S164" s="27"/>
      <c r="T164" s="5"/>
      <c r="U164" s="27"/>
      <c r="V164" s="31"/>
      <c r="W164" s="5"/>
      <c r="X164" s="27"/>
      <c r="Y164" s="5"/>
      <c r="Z164" s="27"/>
      <c r="AA164" s="28"/>
      <c r="AB164" s="105"/>
      <c r="AC164" s="5"/>
      <c r="AD164" s="27"/>
      <c r="AE164" s="5"/>
      <c r="AF164" s="5"/>
      <c r="AG164" s="27"/>
      <c r="AH164" s="6"/>
      <c r="AI164" s="5"/>
      <c r="AJ164" s="27"/>
      <c r="AK164" s="5"/>
      <c r="AL164" s="5"/>
      <c r="AM164" s="27"/>
      <c r="AN164" s="31"/>
      <c r="AO164" s="5"/>
      <c r="AP164" s="27"/>
      <c r="AQ164" s="5"/>
      <c r="AR164" s="5"/>
      <c r="AS164" s="27"/>
      <c r="AT164" s="31"/>
      <c r="AU164" s="5"/>
      <c r="AV164" s="27"/>
      <c r="AW164" s="5"/>
      <c r="AX164" s="5"/>
      <c r="AY164" s="27"/>
      <c r="AZ164" s="31"/>
      <c r="BA164" s="5"/>
      <c r="BB164" s="27"/>
      <c r="BC164" s="5"/>
      <c r="BD164" s="5"/>
      <c r="BE164" s="27"/>
      <c r="BF164" s="28"/>
    </row>
    <row r="165" spans="3:58" x14ac:dyDescent="0.25">
      <c r="C165" s="5"/>
      <c r="D165" s="27"/>
      <c r="E165" s="5"/>
      <c r="F165" s="27"/>
      <c r="G165" s="6"/>
      <c r="H165" s="5"/>
      <c r="I165" s="27"/>
      <c r="J165" s="5"/>
      <c r="K165" s="27"/>
      <c r="L165" s="31"/>
      <c r="M165" s="5"/>
      <c r="N165" s="27"/>
      <c r="O165" s="5"/>
      <c r="P165" s="27"/>
      <c r="Q165" s="31"/>
      <c r="R165" s="5"/>
      <c r="S165" s="27"/>
      <c r="T165" s="5"/>
      <c r="U165" s="27"/>
      <c r="V165" s="31"/>
      <c r="W165" s="5"/>
      <c r="X165" s="27"/>
      <c r="Y165" s="5"/>
      <c r="Z165" s="27"/>
      <c r="AA165" s="28"/>
      <c r="AB165" s="105"/>
      <c r="AC165" s="5"/>
      <c r="AD165" s="27"/>
      <c r="AE165" s="5"/>
      <c r="AF165" s="5"/>
      <c r="AG165" s="27"/>
      <c r="AH165" s="6"/>
      <c r="AI165" s="5"/>
      <c r="AJ165" s="27"/>
      <c r="AK165" s="5"/>
      <c r="AL165" s="5"/>
      <c r="AM165" s="27"/>
      <c r="AN165" s="31"/>
      <c r="AO165" s="5"/>
      <c r="AP165" s="27"/>
      <c r="AQ165" s="5"/>
      <c r="AR165" s="5"/>
      <c r="AS165" s="27"/>
      <c r="AT165" s="31"/>
      <c r="AU165" s="5"/>
      <c r="AV165" s="27"/>
      <c r="AW165" s="5"/>
      <c r="AX165" s="5"/>
      <c r="AY165" s="27"/>
      <c r="AZ165" s="31"/>
      <c r="BA165" s="5"/>
      <c r="BB165" s="27"/>
      <c r="BC165" s="5"/>
      <c r="BD165" s="5"/>
      <c r="BE165" s="27"/>
      <c r="BF165" s="28"/>
    </row>
    <row r="166" spans="3:58" x14ac:dyDescent="0.25">
      <c r="C166" s="5"/>
      <c r="D166" s="27"/>
      <c r="E166" s="5"/>
      <c r="F166" s="27"/>
      <c r="G166" s="6"/>
      <c r="H166" s="5"/>
      <c r="I166" s="27"/>
      <c r="J166" s="5"/>
      <c r="K166" s="27"/>
      <c r="L166" s="31"/>
      <c r="M166" s="5"/>
      <c r="N166" s="27"/>
      <c r="O166" s="5"/>
      <c r="P166" s="27"/>
      <c r="Q166" s="31"/>
      <c r="R166" s="5"/>
      <c r="S166" s="27"/>
      <c r="T166" s="5"/>
      <c r="U166" s="27"/>
      <c r="V166" s="31"/>
      <c r="W166" s="5"/>
      <c r="X166" s="27"/>
      <c r="Y166" s="5"/>
      <c r="Z166" s="27"/>
      <c r="AA166" s="28"/>
      <c r="AB166" s="105"/>
      <c r="AC166" s="5"/>
      <c r="AD166" s="27"/>
      <c r="AE166" s="5"/>
      <c r="AF166" s="5"/>
      <c r="AG166" s="27"/>
      <c r="AH166" s="6"/>
      <c r="AI166" s="5"/>
      <c r="AJ166" s="27"/>
      <c r="AK166" s="5"/>
      <c r="AL166" s="5"/>
      <c r="AM166" s="27"/>
      <c r="AN166" s="31"/>
      <c r="AO166" s="5"/>
      <c r="AP166" s="27"/>
      <c r="AQ166" s="5"/>
      <c r="AR166" s="5"/>
      <c r="AS166" s="27"/>
      <c r="AT166" s="31"/>
      <c r="AU166" s="5"/>
      <c r="AV166" s="27"/>
      <c r="AW166" s="5"/>
      <c r="AX166" s="5"/>
      <c r="AY166" s="27"/>
      <c r="AZ166" s="31"/>
      <c r="BA166" s="5"/>
      <c r="BB166" s="27"/>
      <c r="BC166" s="5"/>
      <c r="BD166" s="5"/>
      <c r="BE166" s="27"/>
      <c r="BF166" s="28"/>
    </row>
    <row r="167" spans="3:58" x14ac:dyDescent="0.25">
      <c r="C167" s="5"/>
      <c r="D167" s="27"/>
      <c r="E167" s="5"/>
      <c r="F167" s="27"/>
      <c r="G167" s="6"/>
      <c r="H167" s="5"/>
      <c r="I167" s="27"/>
      <c r="J167" s="5"/>
      <c r="K167" s="27"/>
      <c r="L167" s="31"/>
      <c r="M167" s="5"/>
      <c r="N167" s="27"/>
      <c r="O167" s="5"/>
      <c r="P167" s="27"/>
      <c r="Q167" s="31"/>
      <c r="R167" s="5"/>
      <c r="S167" s="27"/>
      <c r="T167" s="5"/>
      <c r="U167" s="27"/>
      <c r="V167" s="31"/>
      <c r="W167" s="5"/>
      <c r="X167" s="27"/>
      <c r="Y167" s="5"/>
      <c r="Z167" s="27"/>
      <c r="AA167" s="28"/>
      <c r="AB167" s="105"/>
      <c r="AC167" s="5"/>
      <c r="AD167" s="27"/>
      <c r="AE167" s="5"/>
      <c r="AF167" s="5"/>
      <c r="AG167" s="27"/>
      <c r="AH167" s="6"/>
      <c r="AI167" s="5"/>
      <c r="AJ167" s="27"/>
      <c r="AK167" s="5"/>
      <c r="AL167" s="5"/>
      <c r="AM167" s="27"/>
      <c r="AN167" s="31"/>
      <c r="AO167" s="5"/>
      <c r="AP167" s="27"/>
      <c r="AQ167" s="5"/>
      <c r="AR167" s="5"/>
      <c r="AS167" s="27"/>
      <c r="AT167" s="31"/>
      <c r="AU167" s="5"/>
      <c r="AV167" s="27"/>
      <c r="AW167" s="5"/>
      <c r="AX167" s="5"/>
      <c r="AY167" s="27"/>
      <c r="AZ167" s="31"/>
      <c r="BA167" s="5"/>
      <c r="BB167" s="27"/>
      <c r="BC167" s="5"/>
      <c r="BD167" s="5"/>
      <c r="BE167" s="27"/>
      <c r="BF167" s="28"/>
    </row>
    <row r="168" spans="3:58" x14ac:dyDescent="0.25">
      <c r="C168" s="5"/>
      <c r="D168" s="27"/>
      <c r="E168" s="5"/>
      <c r="F168" s="27"/>
      <c r="G168" s="6"/>
      <c r="H168" s="5"/>
      <c r="I168" s="27"/>
      <c r="J168" s="5"/>
      <c r="K168" s="27"/>
      <c r="L168" s="31"/>
      <c r="M168" s="5"/>
      <c r="N168" s="27"/>
      <c r="O168" s="5"/>
      <c r="P168" s="27"/>
      <c r="Q168" s="31"/>
      <c r="R168" s="5"/>
      <c r="S168" s="27"/>
      <c r="T168" s="5"/>
      <c r="U168" s="27"/>
      <c r="V168" s="31"/>
      <c r="W168" s="5"/>
      <c r="X168" s="27"/>
      <c r="Y168" s="5"/>
      <c r="Z168" s="27"/>
      <c r="AA168" s="28"/>
      <c r="AB168" s="105"/>
      <c r="AC168" s="5"/>
      <c r="AD168" s="27"/>
      <c r="AE168" s="5"/>
      <c r="AF168" s="5"/>
      <c r="AG168" s="27"/>
      <c r="AH168" s="6"/>
      <c r="AI168" s="5"/>
      <c r="AJ168" s="27"/>
      <c r="AK168" s="5"/>
      <c r="AL168" s="5"/>
      <c r="AM168" s="27"/>
      <c r="AN168" s="31"/>
      <c r="AO168" s="5"/>
      <c r="AP168" s="27"/>
      <c r="AQ168" s="5"/>
      <c r="AR168" s="5"/>
      <c r="AS168" s="27"/>
      <c r="AT168" s="31"/>
      <c r="AU168" s="5"/>
      <c r="AV168" s="27"/>
      <c r="AW168" s="5"/>
      <c r="AX168" s="5"/>
      <c r="AY168" s="27"/>
      <c r="AZ168" s="31"/>
      <c r="BA168" s="5"/>
      <c r="BB168" s="27"/>
      <c r="BC168" s="5"/>
      <c r="BD168" s="5"/>
      <c r="BE168" s="27"/>
      <c r="BF168" s="28"/>
    </row>
    <row r="169" spans="3:58" x14ac:dyDescent="0.25">
      <c r="C169" s="5"/>
      <c r="D169" s="27"/>
      <c r="E169" s="5"/>
      <c r="F169" s="27"/>
      <c r="G169" s="6"/>
      <c r="H169" s="5"/>
      <c r="I169" s="27"/>
      <c r="J169" s="5"/>
      <c r="K169" s="27"/>
      <c r="L169" s="31"/>
      <c r="M169" s="5"/>
      <c r="N169" s="27"/>
      <c r="O169" s="5"/>
      <c r="P169" s="27"/>
      <c r="Q169" s="31"/>
      <c r="R169" s="5"/>
      <c r="S169" s="27"/>
      <c r="T169" s="5"/>
      <c r="U169" s="27"/>
      <c r="V169" s="31"/>
      <c r="W169" s="5"/>
      <c r="X169" s="27"/>
      <c r="Y169" s="5"/>
      <c r="Z169" s="27"/>
      <c r="AA169" s="28"/>
      <c r="AB169" s="105"/>
      <c r="AC169" s="5"/>
      <c r="AD169" s="27"/>
      <c r="AE169" s="5"/>
      <c r="AF169" s="5"/>
      <c r="AG169" s="27"/>
      <c r="AH169" s="6"/>
      <c r="AI169" s="5"/>
      <c r="AJ169" s="27"/>
      <c r="AK169" s="5"/>
      <c r="AL169" s="5"/>
      <c r="AM169" s="27"/>
      <c r="AN169" s="31"/>
      <c r="AO169" s="5"/>
      <c r="AP169" s="27"/>
      <c r="AQ169" s="5"/>
      <c r="AR169" s="5"/>
      <c r="AS169" s="27"/>
      <c r="AT169" s="31"/>
      <c r="AU169" s="5"/>
      <c r="AV169" s="27"/>
      <c r="AW169" s="5"/>
      <c r="AX169" s="5"/>
      <c r="AY169" s="27"/>
      <c r="AZ169" s="31"/>
      <c r="BA169" s="5"/>
      <c r="BB169" s="27"/>
      <c r="BC169" s="5"/>
      <c r="BD169" s="5"/>
      <c r="BE169" s="27"/>
      <c r="BF169" s="28"/>
    </row>
    <row r="170" spans="3:58" x14ac:dyDescent="0.25">
      <c r="C170" s="5"/>
      <c r="D170" s="27"/>
      <c r="E170" s="5"/>
      <c r="F170" s="27"/>
      <c r="G170" s="6"/>
      <c r="H170" s="5"/>
      <c r="I170" s="27"/>
      <c r="J170" s="5"/>
      <c r="K170" s="27"/>
      <c r="L170" s="31"/>
      <c r="M170" s="5"/>
      <c r="N170" s="27"/>
      <c r="O170" s="5"/>
      <c r="P170" s="27"/>
      <c r="Q170" s="31"/>
      <c r="R170" s="5"/>
      <c r="S170" s="27"/>
      <c r="T170" s="5"/>
      <c r="U170" s="27"/>
      <c r="V170" s="31"/>
      <c r="W170" s="5"/>
      <c r="X170" s="27"/>
      <c r="Y170" s="5"/>
      <c r="Z170" s="27"/>
      <c r="AA170" s="28"/>
      <c r="AB170" s="105"/>
      <c r="AC170" s="5"/>
      <c r="AD170" s="27"/>
      <c r="AE170" s="5"/>
      <c r="AF170" s="5"/>
      <c r="AG170" s="27"/>
      <c r="AH170" s="6"/>
      <c r="AI170" s="5"/>
      <c r="AJ170" s="27"/>
      <c r="AK170" s="5"/>
      <c r="AL170" s="5"/>
      <c r="AM170" s="27"/>
      <c r="AN170" s="31"/>
      <c r="AO170" s="5"/>
      <c r="AP170" s="27"/>
      <c r="AQ170" s="5"/>
      <c r="AR170" s="5"/>
      <c r="AS170" s="27"/>
      <c r="AT170" s="31"/>
      <c r="AU170" s="5"/>
      <c r="AV170" s="27"/>
      <c r="AW170" s="5"/>
      <c r="AX170" s="5"/>
      <c r="AY170" s="27"/>
      <c r="AZ170" s="31"/>
      <c r="BA170" s="5"/>
      <c r="BB170" s="27"/>
      <c r="BC170" s="5"/>
      <c r="BD170" s="5"/>
      <c r="BE170" s="27"/>
      <c r="BF170" s="28"/>
    </row>
    <row r="171" spans="3:58" x14ac:dyDescent="0.25">
      <c r="C171" s="5"/>
      <c r="D171" s="27"/>
      <c r="E171" s="5"/>
      <c r="F171" s="27"/>
      <c r="G171" s="6"/>
      <c r="H171" s="5"/>
      <c r="I171" s="27"/>
      <c r="J171" s="5"/>
      <c r="K171" s="27"/>
      <c r="L171" s="31"/>
      <c r="M171" s="5"/>
      <c r="N171" s="27"/>
      <c r="O171" s="5"/>
      <c r="P171" s="27"/>
      <c r="Q171" s="31"/>
      <c r="R171" s="5"/>
      <c r="S171" s="27"/>
      <c r="T171" s="5"/>
      <c r="U171" s="27"/>
      <c r="V171" s="31"/>
      <c r="W171" s="5"/>
      <c r="X171" s="27"/>
      <c r="Y171" s="5"/>
      <c r="Z171" s="27"/>
      <c r="AA171" s="28"/>
      <c r="AB171" s="105"/>
      <c r="AC171" s="5"/>
      <c r="AD171" s="27"/>
      <c r="AE171" s="5"/>
      <c r="AF171" s="5"/>
      <c r="AG171" s="27"/>
      <c r="AH171" s="6"/>
      <c r="AI171" s="5"/>
      <c r="AJ171" s="27"/>
      <c r="AK171" s="5"/>
      <c r="AL171" s="5"/>
      <c r="AM171" s="27"/>
      <c r="AN171" s="31"/>
      <c r="AO171" s="5"/>
      <c r="AP171" s="27"/>
      <c r="AQ171" s="5"/>
      <c r="AR171" s="5"/>
      <c r="AS171" s="27"/>
      <c r="AT171" s="31"/>
      <c r="AU171" s="5"/>
      <c r="AV171" s="27"/>
      <c r="AW171" s="5"/>
      <c r="AX171" s="5"/>
      <c r="AY171" s="27"/>
      <c r="AZ171" s="31"/>
      <c r="BA171" s="5"/>
      <c r="BB171" s="27"/>
      <c r="BC171" s="5"/>
      <c r="BD171" s="5"/>
      <c r="BE171" s="27"/>
      <c r="BF171" s="28"/>
    </row>
    <row r="172" spans="3:58" x14ac:dyDescent="0.25">
      <c r="C172" s="5"/>
      <c r="D172" s="27"/>
      <c r="E172" s="5"/>
      <c r="F172" s="27"/>
      <c r="G172" s="6"/>
      <c r="H172" s="5"/>
      <c r="I172" s="27"/>
      <c r="J172" s="5"/>
      <c r="K172" s="27"/>
      <c r="L172" s="31"/>
      <c r="M172" s="5"/>
      <c r="N172" s="27"/>
      <c r="O172" s="5"/>
      <c r="P172" s="27"/>
      <c r="Q172" s="31"/>
      <c r="R172" s="5"/>
      <c r="S172" s="27"/>
      <c r="T172" s="5"/>
      <c r="U172" s="27"/>
      <c r="V172" s="31"/>
      <c r="W172" s="5"/>
      <c r="X172" s="27"/>
      <c r="Y172" s="5"/>
      <c r="Z172" s="27"/>
      <c r="AA172" s="28"/>
      <c r="AB172" s="105"/>
      <c r="AC172" s="5"/>
      <c r="AD172" s="27"/>
      <c r="AE172" s="5"/>
      <c r="AF172" s="5"/>
      <c r="AG172" s="27"/>
      <c r="AH172" s="6"/>
      <c r="AI172" s="5"/>
      <c r="AJ172" s="27"/>
      <c r="AK172" s="5"/>
      <c r="AL172" s="5"/>
      <c r="AM172" s="27"/>
      <c r="AN172" s="31"/>
      <c r="AO172" s="5"/>
      <c r="AP172" s="27"/>
      <c r="AQ172" s="5"/>
      <c r="AR172" s="5"/>
      <c r="AS172" s="27"/>
      <c r="AT172" s="31"/>
      <c r="AU172" s="5"/>
      <c r="AV172" s="27"/>
      <c r="AW172" s="5"/>
      <c r="AX172" s="5"/>
      <c r="AY172" s="27"/>
      <c r="AZ172" s="31"/>
      <c r="BA172" s="5"/>
      <c r="BB172" s="27"/>
      <c r="BC172" s="5"/>
      <c r="BD172" s="5"/>
      <c r="BE172" s="27"/>
      <c r="BF172" s="28"/>
    </row>
    <row r="173" spans="3:58" x14ac:dyDescent="0.25">
      <c r="C173" s="5"/>
      <c r="D173" s="27"/>
      <c r="E173" s="5"/>
      <c r="F173" s="27"/>
      <c r="G173" s="6"/>
      <c r="H173" s="5"/>
      <c r="I173" s="27"/>
      <c r="J173" s="5"/>
      <c r="K173" s="27"/>
      <c r="L173" s="31"/>
      <c r="M173" s="5"/>
      <c r="N173" s="27"/>
      <c r="O173" s="5"/>
      <c r="P173" s="27"/>
      <c r="Q173" s="31"/>
      <c r="R173" s="5"/>
      <c r="S173" s="27"/>
      <c r="T173" s="5"/>
      <c r="U173" s="27"/>
      <c r="V173" s="31"/>
      <c r="W173" s="5"/>
      <c r="X173" s="27"/>
      <c r="Y173" s="5"/>
      <c r="Z173" s="27"/>
      <c r="AA173" s="28"/>
      <c r="AB173" s="105"/>
      <c r="AC173" s="5"/>
      <c r="AD173" s="27"/>
      <c r="AE173" s="5"/>
      <c r="AF173" s="5"/>
      <c r="AG173" s="27"/>
      <c r="AH173" s="6"/>
      <c r="AI173" s="5"/>
      <c r="AJ173" s="27"/>
      <c r="AK173" s="5"/>
      <c r="AL173" s="5"/>
      <c r="AM173" s="27"/>
      <c r="AN173" s="31"/>
      <c r="AO173" s="5"/>
      <c r="AP173" s="27"/>
      <c r="AQ173" s="5"/>
      <c r="AR173" s="5"/>
      <c r="AS173" s="27"/>
      <c r="AT173" s="31"/>
      <c r="AU173" s="5"/>
      <c r="AV173" s="27"/>
      <c r="AW173" s="5"/>
      <c r="AX173" s="5"/>
      <c r="AY173" s="27"/>
      <c r="AZ173" s="31"/>
      <c r="BA173" s="5"/>
      <c r="BB173" s="27"/>
      <c r="BC173" s="5"/>
      <c r="BD173" s="5"/>
      <c r="BE173" s="27"/>
      <c r="BF173" s="28"/>
    </row>
    <row r="174" spans="3:58" x14ac:dyDescent="0.25">
      <c r="C174" s="5"/>
      <c r="D174" s="27"/>
      <c r="E174" s="5"/>
      <c r="F174" s="27"/>
      <c r="G174" s="6"/>
      <c r="H174" s="5"/>
      <c r="I174" s="27"/>
      <c r="J174" s="5"/>
      <c r="K174" s="27"/>
      <c r="L174" s="31"/>
      <c r="M174" s="5"/>
      <c r="N174" s="27"/>
      <c r="O174" s="5"/>
      <c r="P174" s="27"/>
      <c r="Q174" s="31"/>
      <c r="R174" s="5"/>
      <c r="S174" s="27"/>
      <c r="T174" s="5"/>
      <c r="U174" s="27"/>
      <c r="V174" s="31"/>
      <c r="W174" s="5"/>
      <c r="X174" s="27"/>
      <c r="Y174" s="5"/>
      <c r="Z174" s="27"/>
      <c r="AA174" s="28"/>
      <c r="AB174" s="105"/>
      <c r="AC174" s="5"/>
      <c r="AD174" s="27"/>
      <c r="AE174" s="5"/>
      <c r="AF174" s="5"/>
      <c r="AG174" s="27"/>
      <c r="AH174" s="6"/>
      <c r="AI174" s="5"/>
      <c r="AJ174" s="27"/>
      <c r="AK174" s="5"/>
      <c r="AL174" s="5"/>
      <c r="AM174" s="27"/>
      <c r="AN174" s="31"/>
      <c r="AO174" s="5"/>
      <c r="AP174" s="27"/>
      <c r="AQ174" s="5"/>
      <c r="AR174" s="5"/>
      <c r="AS174" s="27"/>
      <c r="AT174" s="31"/>
      <c r="AU174" s="5"/>
      <c r="AV174" s="27"/>
      <c r="AW174" s="5"/>
      <c r="AX174" s="5"/>
      <c r="AY174" s="27"/>
      <c r="AZ174" s="31"/>
      <c r="BA174" s="5"/>
      <c r="BB174" s="27"/>
      <c r="BC174" s="5"/>
      <c r="BD174" s="5"/>
      <c r="BE174" s="27"/>
      <c r="BF174" s="28"/>
    </row>
    <row r="175" spans="3:58" x14ac:dyDescent="0.25">
      <c r="C175" s="5"/>
      <c r="D175" s="27"/>
      <c r="E175" s="5"/>
      <c r="F175" s="27"/>
      <c r="G175" s="6"/>
      <c r="H175" s="5"/>
      <c r="I175" s="27"/>
      <c r="J175" s="5"/>
      <c r="K175" s="27"/>
      <c r="L175" s="31"/>
      <c r="M175" s="5"/>
      <c r="N175" s="27"/>
      <c r="O175" s="5"/>
      <c r="P175" s="27"/>
      <c r="Q175" s="31"/>
      <c r="R175" s="5"/>
      <c r="S175" s="27"/>
      <c r="T175" s="5"/>
      <c r="U175" s="27"/>
      <c r="V175" s="31"/>
      <c r="W175" s="5"/>
      <c r="X175" s="27"/>
      <c r="Y175" s="5"/>
      <c r="Z175" s="27"/>
      <c r="AA175" s="28"/>
      <c r="AB175" s="105"/>
      <c r="AC175" s="5"/>
      <c r="AD175" s="27"/>
      <c r="AE175" s="5"/>
      <c r="AF175" s="5"/>
      <c r="AG175" s="27"/>
      <c r="AH175" s="6"/>
      <c r="AI175" s="5"/>
      <c r="AJ175" s="27"/>
      <c r="AK175" s="5"/>
      <c r="AL175" s="5"/>
      <c r="AM175" s="27"/>
      <c r="AN175" s="31"/>
      <c r="AO175" s="5"/>
      <c r="AP175" s="27"/>
      <c r="AQ175" s="5"/>
      <c r="AR175" s="5"/>
      <c r="AS175" s="27"/>
      <c r="AT175" s="31"/>
      <c r="AU175" s="5"/>
      <c r="AV175" s="27"/>
      <c r="AW175" s="5"/>
      <c r="AX175" s="5"/>
      <c r="AY175" s="27"/>
      <c r="AZ175" s="31"/>
      <c r="BA175" s="5"/>
      <c r="BB175" s="27"/>
      <c r="BC175" s="5"/>
      <c r="BD175" s="5"/>
      <c r="BE175" s="27"/>
      <c r="BF175" s="28"/>
    </row>
    <row r="176" spans="3:58" x14ac:dyDescent="0.25">
      <c r="C176" s="5"/>
      <c r="D176" s="27"/>
      <c r="E176" s="5"/>
      <c r="F176" s="27"/>
      <c r="G176" s="6"/>
      <c r="H176" s="5"/>
      <c r="I176" s="27"/>
      <c r="J176" s="5"/>
      <c r="K176" s="27"/>
      <c r="L176" s="31"/>
      <c r="M176" s="5"/>
      <c r="N176" s="27"/>
      <c r="O176" s="5"/>
      <c r="P176" s="27"/>
      <c r="Q176" s="31"/>
      <c r="R176" s="5"/>
      <c r="S176" s="27"/>
      <c r="T176" s="5"/>
      <c r="U176" s="27"/>
      <c r="V176" s="31"/>
      <c r="W176" s="5"/>
      <c r="X176" s="27"/>
      <c r="Y176" s="5"/>
      <c r="Z176" s="27"/>
      <c r="AA176" s="28"/>
      <c r="AB176" s="105"/>
      <c r="AC176" s="5"/>
      <c r="AD176" s="27"/>
      <c r="AE176" s="5"/>
      <c r="AF176" s="5"/>
      <c r="AG176" s="27"/>
      <c r="AH176" s="6"/>
      <c r="AI176" s="5"/>
      <c r="AJ176" s="27"/>
      <c r="AK176" s="5"/>
      <c r="AL176" s="5"/>
      <c r="AM176" s="27"/>
      <c r="AN176" s="31"/>
      <c r="AO176" s="5"/>
      <c r="AP176" s="27"/>
      <c r="AQ176" s="5"/>
      <c r="AR176" s="5"/>
      <c r="AS176" s="27"/>
      <c r="AT176" s="31"/>
      <c r="AU176" s="5"/>
      <c r="AV176" s="27"/>
      <c r="AW176" s="5"/>
      <c r="AX176" s="5"/>
      <c r="AY176" s="27"/>
      <c r="AZ176" s="31"/>
      <c r="BA176" s="5"/>
      <c r="BB176" s="27"/>
      <c r="BC176" s="5"/>
      <c r="BD176" s="5"/>
      <c r="BE176" s="27"/>
      <c r="BF176" s="28"/>
    </row>
    <row r="177" spans="3:58" x14ac:dyDescent="0.25">
      <c r="C177" s="5"/>
      <c r="D177" s="27"/>
      <c r="E177" s="5"/>
      <c r="F177" s="27"/>
      <c r="G177" s="6"/>
      <c r="H177" s="5"/>
      <c r="I177" s="27"/>
      <c r="J177" s="5"/>
      <c r="K177" s="27"/>
      <c r="L177" s="31"/>
      <c r="M177" s="5"/>
      <c r="N177" s="27"/>
      <c r="O177" s="5"/>
      <c r="P177" s="27"/>
      <c r="Q177" s="31"/>
      <c r="R177" s="5"/>
      <c r="S177" s="27"/>
      <c r="T177" s="5"/>
      <c r="U177" s="27"/>
      <c r="V177" s="31"/>
      <c r="W177" s="5"/>
      <c r="X177" s="27"/>
      <c r="Y177" s="5"/>
      <c r="Z177" s="27"/>
      <c r="AA177" s="28"/>
      <c r="AB177" s="105"/>
      <c r="AC177" s="5"/>
      <c r="AD177" s="27"/>
      <c r="AE177" s="5"/>
      <c r="AF177" s="5"/>
      <c r="AG177" s="27"/>
      <c r="AH177" s="6"/>
      <c r="AI177" s="5"/>
      <c r="AJ177" s="27"/>
      <c r="AK177" s="5"/>
      <c r="AL177" s="5"/>
      <c r="AM177" s="27"/>
      <c r="AN177" s="31"/>
      <c r="AO177" s="5"/>
      <c r="AP177" s="27"/>
      <c r="AQ177" s="5"/>
      <c r="AR177" s="5"/>
      <c r="AS177" s="27"/>
      <c r="AT177" s="31"/>
      <c r="AU177" s="5"/>
      <c r="AV177" s="27"/>
      <c r="AW177" s="5"/>
      <c r="AX177" s="5"/>
      <c r="AY177" s="27"/>
      <c r="AZ177" s="31"/>
      <c r="BA177" s="5"/>
      <c r="BB177" s="27"/>
      <c r="BC177" s="5"/>
      <c r="BD177" s="5"/>
      <c r="BE177" s="27"/>
      <c r="BF177" s="28"/>
    </row>
    <row r="178" spans="3:58" x14ac:dyDescent="0.25">
      <c r="C178" s="5"/>
      <c r="D178" s="27"/>
      <c r="E178" s="5"/>
      <c r="F178" s="27"/>
      <c r="G178" s="6"/>
      <c r="H178" s="5"/>
      <c r="I178" s="27"/>
      <c r="J178" s="5"/>
      <c r="K178" s="27"/>
      <c r="L178" s="31"/>
      <c r="M178" s="5"/>
      <c r="N178" s="27"/>
      <c r="O178" s="5"/>
      <c r="P178" s="27"/>
      <c r="Q178" s="31"/>
      <c r="R178" s="5"/>
      <c r="S178" s="27"/>
      <c r="T178" s="5"/>
      <c r="U178" s="27"/>
      <c r="V178" s="31"/>
      <c r="W178" s="5"/>
      <c r="X178" s="27"/>
      <c r="Y178" s="5"/>
      <c r="Z178" s="27"/>
      <c r="AA178" s="28"/>
      <c r="AB178" s="105"/>
      <c r="AC178" s="5"/>
      <c r="AD178" s="27"/>
      <c r="AE178" s="5"/>
      <c r="AF178" s="5"/>
      <c r="AG178" s="27"/>
      <c r="AH178" s="6"/>
      <c r="AI178" s="5"/>
      <c r="AJ178" s="27"/>
      <c r="AK178" s="5"/>
      <c r="AL178" s="5"/>
      <c r="AM178" s="27"/>
      <c r="AN178" s="31"/>
      <c r="AO178" s="5"/>
      <c r="AP178" s="27"/>
      <c r="AQ178" s="5"/>
      <c r="AR178" s="5"/>
      <c r="AS178" s="27"/>
      <c r="AT178" s="31"/>
      <c r="AU178" s="5"/>
      <c r="AV178" s="27"/>
      <c r="AW178" s="5"/>
      <c r="AX178" s="5"/>
      <c r="AY178" s="27"/>
      <c r="AZ178" s="31"/>
      <c r="BA178" s="5"/>
      <c r="BB178" s="27"/>
      <c r="BC178" s="5"/>
      <c r="BD178" s="5"/>
      <c r="BE178" s="27"/>
      <c r="BF178" s="28"/>
    </row>
    <row r="179" spans="3:58" x14ac:dyDescent="0.25">
      <c r="C179" s="5"/>
      <c r="D179" s="27"/>
      <c r="E179" s="5"/>
      <c r="F179" s="27"/>
      <c r="G179" s="6"/>
      <c r="H179" s="5"/>
      <c r="I179" s="27"/>
      <c r="J179" s="5"/>
      <c r="K179" s="27"/>
      <c r="L179" s="31"/>
      <c r="M179" s="5"/>
      <c r="N179" s="27"/>
      <c r="O179" s="5"/>
      <c r="P179" s="27"/>
      <c r="Q179" s="31"/>
      <c r="R179" s="5"/>
      <c r="S179" s="27"/>
      <c r="T179" s="5"/>
      <c r="U179" s="27"/>
      <c r="V179" s="31"/>
      <c r="W179" s="5"/>
      <c r="X179" s="27"/>
      <c r="Y179" s="5"/>
      <c r="Z179" s="27"/>
      <c r="AA179" s="28"/>
      <c r="AB179" s="105"/>
      <c r="AC179" s="5"/>
      <c r="AD179" s="27"/>
      <c r="AE179" s="5"/>
      <c r="AF179" s="5"/>
      <c r="AG179" s="27"/>
      <c r="AH179" s="6"/>
      <c r="AI179" s="5"/>
      <c r="AJ179" s="27"/>
      <c r="AK179" s="5"/>
      <c r="AL179" s="5"/>
      <c r="AM179" s="27"/>
      <c r="AN179" s="31"/>
      <c r="AO179" s="5"/>
      <c r="AP179" s="27"/>
      <c r="AQ179" s="5"/>
      <c r="AR179" s="5"/>
      <c r="AS179" s="27"/>
      <c r="AT179" s="31"/>
      <c r="AU179" s="5"/>
      <c r="AV179" s="27"/>
      <c r="AW179" s="5"/>
      <c r="AX179" s="5"/>
      <c r="AY179" s="27"/>
      <c r="AZ179" s="31"/>
      <c r="BA179" s="5"/>
      <c r="BB179" s="27"/>
      <c r="BC179" s="5"/>
      <c r="BD179" s="5"/>
      <c r="BE179" s="27"/>
      <c r="BF179" s="28"/>
    </row>
    <row r="180" spans="3:58" x14ac:dyDescent="0.25">
      <c r="C180" s="5"/>
      <c r="D180" s="27"/>
      <c r="E180" s="5"/>
      <c r="F180" s="27"/>
      <c r="G180" s="6"/>
      <c r="H180" s="5"/>
      <c r="I180" s="27"/>
      <c r="J180" s="5"/>
      <c r="K180" s="27"/>
      <c r="L180" s="31"/>
      <c r="M180" s="5"/>
      <c r="N180" s="27"/>
      <c r="O180" s="5"/>
      <c r="P180" s="27"/>
      <c r="Q180" s="31"/>
      <c r="R180" s="5"/>
      <c r="S180" s="27"/>
      <c r="T180" s="5"/>
      <c r="U180" s="27"/>
      <c r="V180" s="31"/>
      <c r="W180" s="5"/>
      <c r="X180" s="27"/>
      <c r="Y180" s="5"/>
      <c r="Z180" s="27"/>
      <c r="AA180" s="28"/>
      <c r="AB180" s="105"/>
      <c r="AC180" s="5"/>
      <c r="AD180" s="27"/>
      <c r="AE180" s="5"/>
      <c r="AF180" s="5"/>
      <c r="AG180" s="27"/>
      <c r="AH180" s="6"/>
      <c r="AI180" s="5"/>
      <c r="AJ180" s="27"/>
      <c r="AK180" s="5"/>
      <c r="AL180" s="5"/>
      <c r="AM180" s="27"/>
      <c r="AN180" s="31"/>
      <c r="AO180" s="5"/>
      <c r="AP180" s="27"/>
      <c r="AQ180" s="5"/>
      <c r="AR180" s="5"/>
      <c r="AS180" s="27"/>
      <c r="AT180" s="31"/>
      <c r="AU180" s="5"/>
      <c r="AV180" s="27"/>
      <c r="AW180" s="5"/>
      <c r="AX180" s="5"/>
      <c r="AY180" s="27"/>
      <c r="AZ180" s="31"/>
      <c r="BA180" s="5"/>
      <c r="BB180" s="27"/>
      <c r="BC180" s="5"/>
      <c r="BD180" s="5"/>
      <c r="BE180" s="27"/>
      <c r="BF180" s="28"/>
    </row>
    <row r="181" spans="3:58" x14ac:dyDescent="0.25">
      <c r="C181" s="5"/>
      <c r="D181" s="27"/>
      <c r="E181" s="5"/>
      <c r="F181" s="27"/>
      <c r="G181" s="6"/>
      <c r="H181" s="5"/>
      <c r="I181" s="27"/>
      <c r="J181" s="5"/>
      <c r="K181" s="27"/>
      <c r="L181" s="31"/>
      <c r="M181" s="5"/>
      <c r="N181" s="27"/>
      <c r="O181" s="5"/>
      <c r="P181" s="27"/>
      <c r="Q181" s="31"/>
      <c r="R181" s="5"/>
      <c r="S181" s="27"/>
      <c r="T181" s="5"/>
      <c r="U181" s="27"/>
      <c r="V181" s="31"/>
      <c r="W181" s="5"/>
      <c r="X181" s="27"/>
      <c r="Y181" s="5"/>
      <c r="Z181" s="27"/>
      <c r="AA181" s="28"/>
      <c r="AB181" s="105"/>
      <c r="AC181" s="5"/>
      <c r="AD181" s="27"/>
      <c r="AE181" s="5"/>
      <c r="AF181" s="5"/>
      <c r="AG181" s="27"/>
      <c r="AH181" s="6"/>
      <c r="AI181" s="5"/>
      <c r="AJ181" s="27"/>
      <c r="AK181" s="5"/>
      <c r="AL181" s="5"/>
      <c r="AM181" s="27"/>
      <c r="AN181" s="31"/>
      <c r="AO181" s="5"/>
      <c r="AP181" s="27"/>
      <c r="AQ181" s="5"/>
      <c r="AR181" s="5"/>
      <c r="AS181" s="27"/>
      <c r="AT181" s="31"/>
      <c r="AU181" s="5"/>
      <c r="AV181" s="27"/>
      <c r="AW181" s="5"/>
      <c r="AX181" s="5"/>
      <c r="AY181" s="27"/>
      <c r="AZ181" s="31"/>
      <c r="BA181" s="5"/>
      <c r="BB181" s="27"/>
      <c r="BC181" s="5"/>
      <c r="BD181" s="5"/>
      <c r="BE181" s="27"/>
      <c r="BF181" s="28"/>
    </row>
    <row r="182" spans="3:58" x14ac:dyDescent="0.25">
      <c r="C182" s="5"/>
      <c r="D182" s="27"/>
      <c r="E182" s="5"/>
      <c r="F182" s="27"/>
      <c r="G182" s="6"/>
      <c r="H182" s="5"/>
      <c r="I182" s="27"/>
      <c r="J182" s="5"/>
      <c r="K182" s="27"/>
      <c r="L182" s="31"/>
      <c r="M182" s="5"/>
      <c r="N182" s="27"/>
      <c r="O182" s="5"/>
      <c r="P182" s="27"/>
      <c r="Q182" s="31"/>
      <c r="R182" s="5"/>
      <c r="S182" s="27"/>
      <c r="T182" s="5"/>
      <c r="U182" s="27"/>
      <c r="V182" s="31"/>
      <c r="W182" s="5"/>
      <c r="X182" s="27"/>
      <c r="Y182" s="5"/>
      <c r="Z182" s="27"/>
      <c r="AA182" s="28"/>
      <c r="AB182" s="105"/>
      <c r="AC182" s="5"/>
      <c r="AD182" s="27"/>
      <c r="AE182" s="5"/>
      <c r="AF182" s="5"/>
      <c r="AG182" s="27"/>
      <c r="AH182" s="6"/>
      <c r="AI182" s="5"/>
      <c r="AJ182" s="27"/>
      <c r="AK182" s="5"/>
      <c r="AL182" s="5"/>
      <c r="AM182" s="27"/>
      <c r="AN182" s="31"/>
      <c r="AO182" s="5"/>
      <c r="AP182" s="27"/>
      <c r="AQ182" s="5"/>
      <c r="AR182" s="5"/>
      <c r="AS182" s="27"/>
      <c r="AT182" s="31"/>
      <c r="AU182" s="5"/>
      <c r="AV182" s="27"/>
      <c r="AW182" s="5"/>
      <c r="AX182" s="5"/>
      <c r="AY182" s="27"/>
      <c r="AZ182" s="31"/>
      <c r="BA182" s="5"/>
      <c r="BB182" s="27"/>
      <c r="BC182" s="5"/>
      <c r="BD182" s="5"/>
      <c r="BE182" s="27"/>
      <c r="BF182" s="28"/>
    </row>
    <row r="183" spans="3:58" x14ac:dyDescent="0.25">
      <c r="C183" s="5"/>
      <c r="D183" s="27"/>
      <c r="E183" s="5"/>
      <c r="F183" s="27"/>
      <c r="G183" s="6"/>
      <c r="H183" s="5"/>
      <c r="I183" s="27"/>
      <c r="J183" s="5"/>
      <c r="K183" s="27"/>
      <c r="L183" s="31"/>
      <c r="M183" s="5"/>
      <c r="N183" s="27"/>
      <c r="O183" s="5"/>
      <c r="P183" s="27"/>
      <c r="Q183" s="31"/>
      <c r="R183" s="5"/>
      <c r="S183" s="27"/>
      <c r="T183" s="5"/>
      <c r="U183" s="27"/>
      <c r="V183" s="31"/>
      <c r="W183" s="5"/>
      <c r="X183" s="27"/>
      <c r="Y183" s="5"/>
      <c r="Z183" s="27"/>
      <c r="AA183" s="28"/>
      <c r="AB183" s="105"/>
      <c r="AC183" s="5"/>
      <c r="AD183" s="27"/>
      <c r="AE183" s="5"/>
      <c r="AF183" s="5"/>
      <c r="AG183" s="27"/>
      <c r="AH183" s="6"/>
      <c r="AI183" s="5"/>
      <c r="AJ183" s="27"/>
      <c r="AK183" s="5"/>
      <c r="AL183" s="5"/>
      <c r="AM183" s="27"/>
      <c r="AN183" s="31"/>
      <c r="AO183" s="5"/>
      <c r="AP183" s="27"/>
      <c r="AQ183" s="5"/>
      <c r="AR183" s="5"/>
      <c r="AS183" s="27"/>
      <c r="AT183" s="31"/>
      <c r="AU183" s="5"/>
      <c r="AV183" s="27"/>
      <c r="AW183" s="5"/>
      <c r="AX183" s="5"/>
      <c r="AY183" s="27"/>
      <c r="AZ183" s="31"/>
      <c r="BA183" s="5"/>
      <c r="BB183" s="27"/>
      <c r="BC183" s="5"/>
      <c r="BD183" s="5"/>
      <c r="BE183" s="27"/>
      <c r="BF183" s="28"/>
    </row>
    <row r="184" spans="3:58" x14ac:dyDescent="0.25">
      <c r="C184" s="5"/>
      <c r="D184" s="27"/>
      <c r="E184" s="5"/>
      <c r="F184" s="27"/>
      <c r="G184" s="6"/>
      <c r="H184" s="5"/>
      <c r="I184" s="27"/>
      <c r="J184" s="5"/>
      <c r="K184" s="27"/>
      <c r="L184" s="31"/>
      <c r="M184" s="5"/>
      <c r="N184" s="27"/>
      <c r="O184" s="5"/>
      <c r="P184" s="27"/>
      <c r="Q184" s="31"/>
      <c r="R184" s="5"/>
      <c r="S184" s="27"/>
      <c r="T184" s="5"/>
      <c r="U184" s="27"/>
      <c r="V184" s="31"/>
      <c r="W184" s="5"/>
      <c r="X184" s="27"/>
      <c r="Y184" s="5"/>
      <c r="Z184" s="27"/>
      <c r="AA184" s="28"/>
      <c r="AB184" s="105"/>
      <c r="AC184" s="5"/>
      <c r="AD184" s="27"/>
      <c r="AE184" s="5"/>
      <c r="AF184" s="5"/>
      <c r="AG184" s="27"/>
      <c r="AH184" s="6"/>
      <c r="AI184" s="5"/>
      <c r="AJ184" s="27"/>
      <c r="AK184" s="5"/>
      <c r="AL184" s="5"/>
      <c r="AM184" s="27"/>
      <c r="AN184" s="31"/>
      <c r="AO184" s="5"/>
      <c r="AP184" s="27"/>
      <c r="AQ184" s="5"/>
      <c r="AR184" s="5"/>
      <c r="AS184" s="27"/>
      <c r="AT184" s="31"/>
      <c r="AU184" s="5"/>
      <c r="AV184" s="27"/>
      <c r="AW184" s="5"/>
      <c r="AX184" s="5"/>
      <c r="AY184" s="27"/>
      <c r="AZ184" s="31"/>
      <c r="BA184" s="5"/>
      <c r="BB184" s="27"/>
      <c r="BC184" s="5"/>
      <c r="BD184" s="5"/>
      <c r="BE184" s="27"/>
      <c r="BF184" s="28"/>
    </row>
    <row r="185" spans="3:58" x14ac:dyDescent="0.25">
      <c r="C185" s="5"/>
      <c r="D185" s="27"/>
      <c r="E185" s="5"/>
      <c r="F185" s="27"/>
      <c r="G185" s="6"/>
      <c r="H185" s="5"/>
      <c r="I185" s="27"/>
      <c r="J185" s="5"/>
      <c r="K185" s="27"/>
      <c r="L185" s="31"/>
      <c r="M185" s="5"/>
      <c r="N185" s="27"/>
      <c r="O185" s="5"/>
      <c r="P185" s="27"/>
      <c r="Q185" s="31"/>
      <c r="R185" s="5"/>
      <c r="S185" s="27"/>
      <c r="T185" s="5"/>
      <c r="U185" s="27"/>
      <c r="V185" s="31"/>
      <c r="W185" s="5"/>
      <c r="X185" s="27"/>
      <c r="Y185" s="5"/>
      <c r="Z185" s="27"/>
      <c r="AA185" s="28"/>
      <c r="AB185" s="105"/>
      <c r="AC185" s="5"/>
      <c r="AD185" s="27"/>
      <c r="AE185" s="5"/>
      <c r="AF185" s="5"/>
      <c r="AG185" s="27"/>
      <c r="AH185" s="6"/>
      <c r="AI185" s="5"/>
      <c r="AJ185" s="27"/>
      <c r="AK185" s="5"/>
      <c r="AL185" s="5"/>
      <c r="AM185" s="27"/>
      <c r="AN185" s="31"/>
      <c r="AO185" s="5"/>
      <c r="AP185" s="27"/>
      <c r="AQ185" s="5"/>
      <c r="AR185" s="5"/>
      <c r="AS185" s="27"/>
      <c r="AT185" s="31"/>
      <c r="AU185" s="5"/>
      <c r="AV185" s="27"/>
      <c r="AW185" s="5"/>
      <c r="AX185" s="5"/>
      <c r="AY185" s="27"/>
      <c r="AZ185" s="31"/>
      <c r="BA185" s="5"/>
      <c r="BB185" s="27"/>
      <c r="BC185" s="5"/>
      <c r="BD185" s="5"/>
      <c r="BE185" s="27"/>
      <c r="BF185" s="28"/>
    </row>
    <row r="186" spans="3:58" x14ac:dyDescent="0.25">
      <c r="C186" s="5"/>
      <c r="D186" s="27"/>
      <c r="E186" s="5"/>
      <c r="F186" s="27"/>
      <c r="G186" s="6"/>
      <c r="H186" s="5"/>
      <c r="I186" s="27"/>
      <c r="J186" s="5"/>
      <c r="K186" s="27"/>
      <c r="L186" s="31"/>
      <c r="M186" s="5"/>
      <c r="N186" s="27"/>
      <c r="O186" s="5"/>
      <c r="P186" s="27"/>
      <c r="Q186" s="31"/>
      <c r="R186" s="5"/>
      <c r="S186" s="27"/>
      <c r="T186" s="5"/>
      <c r="U186" s="27"/>
      <c r="V186" s="31"/>
      <c r="W186" s="5"/>
      <c r="X186" s="27"/>
      <c r="Y186" s="5"/>
      <c r="Z186" s="27"/>
      <c r="AA186" s="28"/>
      <c r="AB186" s="105"/>
      <c r="AC186" s="5"/>
      <c r="AD186" s="27"/>
      <c r="AE186" s="5"/>
      <c r="AF186" s="5"/>
      <c r="AG186" s="27"/>
      <c r="AH186" s="6"/>
      <c r="AI186" s="5"/>
      <c r="AJ186" s="27"/>
      <c r="AK186" s="5"/>
      <c r="AL186" s="5"/>
      <c r="AM186" s="27"/>
      <c r="AN186" s="31"/>
      <c r="AO186" s="5"/>
      <c r="AP186" s="27"/>
      <c r="AQ186" s="5"/>
      <c r="AR186" s="5"/>
      <c r="AS186" s="27"/>
      <c r="AT186" s="31"/>
      <c r="AU186" s="5"/>
      <c r="AV186" s="27"/>
      <c r="AW186" s="5"/>
      <c r="AX186" s="5"/>
      <c r="AY186" s="27"/>
      <c r="AZ186" s="31"/>
      <c r="BA186" s="5"/>
      <c r="BB186" s="27"/>
      <c r="BC186" s="5"/>
      <c r="BD186" s="5"/>
      <c r="BE186" s="27"/>
      <c r="BF186" s="28"/>
    </row>
    <row r="187" spans="3:58" x14ac:dyDescent="0.25">
      <c r="C187" s="5"/>
      <c r="D187" s="27"/>
      <c r="E187" s="5"/>
      <c r="F187" s="27"/>
      <c r="G187" s="6"/>
      <c r="H187" s="5"/>
      <c r="I187" s="27"/>
      <c r="J187" s="5"/>
      <c r="K187" s="27"/>
      <c r="L187" s="31"/>
      <c r="M187" s="5"/>
      <c r="N187" s="27"/>
      <c r="O187" s="5"/>
      <c r="P187" s="27"/>
      <c r="Q187" s="31"/>
      <c r="R187" s="5"/>
      <c r="S187" s="27"/>
      <c r="T187" s="5"/>
      <c r="U187" s="27"/>
      <c r="V187" s="31"/>
      <c r="W187" s="5"/>
      <c r="X187" s="27"/>
      <c r="Y187" s="5"/>
      <c r="Z187" s="27"/>
      <c r="AA187" s="28"/>
      <c r="AB187" s="105"/>
      <c r="AC187" s="5"/>
      <c r="AD187" s="27"/>
      <c r="AE187" s="5"/>
      <c r="AF187" s="5"/>
      <c r="AG187" s="27"/>
      <c r="AH187" s="6"/>
      <c r="AI187" s="5"/>
      <c r="AJ187" s="27"/>
      <c r="AK187" s="5"/>
      <c r="AL187" s="5"/>
      <c r="AM187" s="27"/>
      <c r="AN187" s="31"/>
      <c r="AO187" s="5"/>
      <c r="AP187" s="27"/>
      <c r="AQ187" s="5"/>
      <c r="AR187" s="5"/>
      <c r="AS187" s="27"/>
      <c r="AT187" s="31"/>
      <c r="AU187" s="5"/>
      <c r="AV187" s="27"/>
      <c r="AW187" s="5"/>
      <c r="AX187" s="5"/>
      <c r="AY187" s="27"/>
      <c r="AZ187" s="31"/>
      <c r="BA187" s="5"/>
      <c r="BB187" s="27"/>
      <c r="BC187" s="5"/>
      <c r="BD187" s="5"/>
      <c r="BE187" s="27"/>
      <c r="BF187" s="28"/>
    </row>
    <row r="188" spans="3:58" x14ac:dyDescent="0.25">
      <c r="C188" s="5"/>
      <c r="D188" s="27"/>
      <c r="E188" s="5"/>
      <c r="F188" s="27"/>
      <c r="G188" s="6"/>
      <c r="H188" s="5"/>
      <c r="I188" s="27"/>
      <c r="J188" s="5"/>
      <c r="K188" s="27"/>
      <c r="L188" s="31"/>
      <c r="M188" s="5"/>
      <c r="N188" s="27"/>
      <c r="O188" s="5"/>
      <c r="P188" s="27"/>
      <c r="Q188" s="31"/>
      <c r="R188" s="5"/>
      <c r="S188" s="27"/>
      <c r="T188" s="5"/>
      <c r="U188" s="27"/>
      <c r="V188" s="31"/>
      <c r="W188" s="5"/>
      <c r="X188" s="27"/>
      <c r="Y188" s="5"/>
      <c r="Z188" s="27"/>
      <c r="AA188" s="28"/>
      <c r="AB188" s="105"/>
      <c r="AC188" s="5"/>
      <c r="AD188" s="27"/>
      <c r="AE188" s="5"/>
      <c r="AF188" s="5"/>
      <c r="AG188" s="27"/>
      <c r="AH188" s="6"/>
      <c r="AI188" s="5"/>
      <c r="AJ188" s="27"/>
      <c r="AK188" s="5"/>
      <c r="AL188" s="5"/>
      <c r="AM188" s="27"/>
      <c r="AN188" s="31"/>
      <c r="AO188" s="5"/>
      <c r="AP188" s="27"/>
      <c r="AQ188" s="5"/>
      <c r="AR188" s="5"/>
      <c r="AS188" s="27"/>
      <c r="AT188" s="31"/>
      <c r="AU188" s="5"/>
      <c r="AV188" s="27"/>
      <c r="AW188" s="5"/>
      <c r="AX188" s="5"/>
      <c r="AY188" s="27"/>
      <c r="AZ188" s="31"/>
      <c r="BA188" s="5"/>
      <c r="BB188" s="27"/>
      <c r="BC188" s="5"/>
      <c r="BD188" s="5"/>
      <c r="BE188" s="27"/>
      <c r="BF188" s="28"/>
    </row>
    <row r="189" spans="3:58" x14ac:dyDescent="0.25">
      <c r="C189" s="5"/>
      <c r="D189" s="27"/>
      <c r="E189" s="5"/>
      <c r="F189" s="27"/>
      <c r="G189" s="6"/>
      <c r="H189" s="5"/>
      <c r="I189" s="27"/>
      <c r="J189" s="5"/>
      <c r="K189" s="27"/>
      <c r="L189" s="31"/>
      <c r="M189" s="5"/>
      <c r="N189" s="27"/>
      <c r="O189" s="5"/>
      <c r="P189" s="27"/>
      <c r="Q189" s="31"/>
      <c r="R189" s="5"/>
      <c r="S189" s="27"/>
      <c r="T189" s="5"/>
      <c r="U189" s="27"/>
      <c r="V189" s="31"/>
      <c r="W189" s="5"/>
      <c r="X189" s="27"/>
      <c r="Y189" s="5"/>
      <c r="Z189" s="27"/>
      <c r="AA189" s="28"/>
      <c r="AB189" s="105"/>
      <c r="AC189" s="5"/>
      <c r="AD189" s="27"/>
      <c r="AE189" s="5"/>
      <c r="AF189" s="5"/>
      <c r="AG189" s="27"/>
      <c r="AH189" s="6"/>
      <c r="AI189" s="5"/>
      <c r="AJ189" s="27"/>
      <c r="AK189" s="5"/>
      <c r="AL189" s="5"/>
      <c r="AM189" s="27"/>
      <c r="AN189" s="31"/>
      <c r="AO189" s="5"/>
      <c r="AP189" s="27"/>
      <c r="AQ189" s="5"/>
      <c r="AR189" s="5"/>
      <c r="AS189" s="27"/>
      <c r="AT189" s="31"/>
      <c r="AU189" s="5"/>
      <c r="AV189" s="27"/>
      <c r="AW189" s="5"/>
      <c r="AX189" s="5"/>
      <c r="AY189" s="27"/>
      <c r="AZ189" s="31"/>
      <c r="BA189" s="5"/>
      <c r="BB189" s="27"/>
      <c r="BC189" s="5"/>
      <c r="BD189" s="5"/>
      <c r="BE189" s="27"/>
      <c r="BF189" s="28"/>
    </row>
    <row r="190" spans="3:58" x14ac:dyDescent="0.25">
      <c r="C190" s="5"/>
      <c r="D190" s="27"/>
      <c r="E190" s="5"/>
      <c r="F190" s="27"/>
      <c r="G190" s="6"/>
      <c r="H190" s="5"/>
      <c r="I190" s="27"/>
      <c r="J190" s="5"/>
      <c r="K190" s="27"/>
      <c r="L190" s="31"/>
      <c r="M190" s="5"/>
      <c r="N190" s="27"/>
      <c r="O190" s="5"/>
      <c r="P190" s="27"/>
      <c r="Q190" s="31"/>
      <c r="R190" s="5"/>
      <c r="S190" s="27"/>
      <c r="T190" s="5"/>
      <c r="U190" s="27"/>
      <c r="V190" s="31"/>
      <c r="W190" s="5"/>
      <c r="X190" s="27"/>
      <c r="Y190" s="5"/>
      <c r="Z190" s="27"/>
      <c r="AA190" s="28"/>
      <c r="AB190" s="105"/>
      <c r="AC190" s="5"/>
      <c r="AD190" s="27"/>
      <c r="AE190" s="5"/>
      <c r="AF190" s="5"/>
      <c r="AG190" s="27"/>
      <c r="AH190" s="6"/>
      <c r="AI190" s="5"/>
      <c r="AJ190" s="27"/>
      <c r="AK190" s="5"/>
      <c r="AL190" s="5"/>
      <c r="AM190" s="27"/>
      <c r="AN190" s="31"/>
      <c r="AO190" s="5"/>
      <c r="AP190" s="27"/>
      <c r="AQ190" s="5"/>
      <c r="AR190" s="5"/>
      <c r="AS190" s="27"/>
      <c r="AT190" s="31"/>
      <c r="AU190" s="5"/>
      <c r="AV190" s="27"/>
      <c r="AW190" s="5"/>
      <c r="AX190" s="5"/>
      <c r="AY190" s="27"/>
      <c r="AZ190" s="31"/>
      <c r="BA190" s="5"/>
      <c r="BB190" s="27"/>
      <c r="BC190" s="5"/>
      <c r="BD190" s="5"/>
      <c r="BE190" s="27"/>
      <c r="BF190" s="28"/>
    </row>
    <row r="191" spans="3:58" x14ac:dyDescent="0.25">
      <c r="C191" s="5"/>
      <c r="D191" s="27"/>
      <c r="E191" s="5"/>
      <c r="F191" s="27"/>
      <c r="G191" s="6"/>
      <c r="H191" s="5"/>
      <c r="I191" s="27"/>
      <c r="J191" s="5"/>
      <c r="K191" s="27"/>
      <c r="L191" s="31"/>
      <c r="M191" s="5"/>
      <c r="N191" s="27"/>
      <c r="O191" s="5"/>
      <c r="P191" s="27"/>
      <c r="Q191" s="31"/>
      <c r="R191" s="5"/>
      <c r="S191" s="27"/>
      <c r="T191" s="5"/>
      <c r="U191" s="27"/>
      <c r="V191" s="31"/>
      <c r="W191" s="5"/>
      <c r="X191" s="27"/>
      <c r="Y191" s="5"/>
      <c r="Z191" s="27"/>
      <c r="AA191" s="28"/>
      <c r="AB191" s="105"/>
      <c r="AC191" s="5"/>
      <c r="AD191" s="27"/>
      <c r="AE191" s="5"/>
      <c r="AF191" s="5"/>
      <c r="AG191" s="27"/>
      <c r="AH191" s="6"/>
      <c r="AI191" s="5"/>
      <c r="AJ191" s="27"/>
      <c r="AK191" s="5"/>
      <c r="AL191" s="5"/>
      <c r="AM191" s="27"/>
      <c r="AN191" s="31"/>
      <c r="AO191" s="5"/>
      <c r="AP191" s="27"/>
      <c r="AQ191" s="5"/>
      <c r="AR191" s="5"/>
      <c r="AS191" s="27"/>
      <c r="AT191" s="31"/>
      <c r="AU191" s="5"/>
      <c r="AV191" s="27"/>
      <c r="AW191" s="5"/>
      <c r="AX191" s="5"/>
      <c r="AY191" s="27"/>
      <c r="AZ191" s="31"/>
      <c r="BA191" s="5"/>
      <c r="BB191" s="27"/>
      <c r="BC191" s="5"/>
      <c r="BD191" s="5"/>
      <c r="BE191" s="27"/>
      <c r="BF191" s="28"/>
    </row>
    <row r="192" spans="3:58" x14ac:dyDescent="0.25">
      <c r="C192" s="5"/>
      <c r="D192" s="27"/>
      <c r="E192" s="5"/>
      <c r="F192" s="27"/>
      <c r="G192" s="6"/>
      <c r="H192" s="5"/>
      <c r="I192" s="27"/>
      <c r="J192" s="5"/>
      <c r="K192" s="27"/>
      <c r="L192" s="31"/>
      <c r="M192" s="5"/>
      <c r="N192" s="27"/>
      <c r="O192" s="5"/>
      <c r="P192" s="27"/>
      <c r="Q192" s="31"/>
      <c r="R192" s="5"/>
      <c r="S192" s="27"/>
      <c r="T192" s="5"/>
      <c r="U192" s="27"/>
      <c r="V192" s="31"/>
      <c r="W192" s="5"/>
      <c r="X192" s="27"/>
      <c r="Y192" s="5"/>
      <c r="Z192" s="27"/>
      <c r="AA192" s="28"/>
      <c r="AB192" s="105"/>
      <c r="AC192" s="5"/>
      <c r="AD192" s="27"/>
      <c r="AE192" s="5"/>
      <c r="AF192" s="5"/>
      <c r="AG192" s="27"/>
      <c r="AH192" s="6"/>
      <c r="AI192" s="5"/>
      <c r="AJ192" s="27"/>
      <c r="AK192" s="5"/>
      <c r="AL192" s="5"/>
      <c r="AM192" s="27"/>
      <c r="AN192" s="31"/>
      <c r="AO192" s="5"/>
      <c r="AP192" s="27"/>
      <c r="AQ192" s="5"/>
      <c r="AR192" s="5"/>
      <c r="AS192" s="27"/>
      <c r="AT192" s="31"/>
      <c r="AU192" s="5"/>
      <c r="AV192" s="27"/>
      <c r="AW192" s="5"/>
      <c r="AX192" s="5"/>
      <c r="AY192" s="27"/>
      <c r="AZ192" s="31"/>
      <c r="BA192" s="5"/>
      <c r="BB192" s="27"/>
      <c r="BC192" s="5"/>
      <c r="BD192" s="5"/>
      <c r="BE192" s="27"/>
      <c r="BF192" s="28"/>
    </row>
    <row r="193" spans="3:58" x14ac:dyDescent="0.25">
      <c r="C193" s="5"/>
      <c r="D193" s="27"/>
      <c r="E193" s="5"/>
      <c r="F193" s="27"/>
      <c r="G193" s="6"/>
      <c r="H193" s="5"/>
      <c r="I193" s="27"/>
      <c r="J193" s="5"/>
      <c r="K193" s="27"/>
      <c r="L193" s="31"/>
      <c r="M193" s="5"/>
      <c r="N193" s="27"/>
      <c r="O193" s="5"/>
      <c r="P193" s="27"/>
      <c r="Q193" s="31"/>
      <c r="R193" s="5"/>
      <c r="S193" s="27"/>
      <c r="T193" s="5"/>
      <c r="U193" s="27"/>
      <c r="V193" s="31"/>
      <c r="W193" s="5"/>
      <c r="X193" s="27"/>
      <c r="Y193" s="5"/>
      <c r="Z193" s="27"/>
      <c r="AA193" s="28"/>
      <c r="AB193" s="105"/>
      <c r="AC193" s="5"/>
      <c r="AD193" s="27"/>
      <c r="AE193" s="5"/>
      <c r="AF193" s="5"/>
      <c r="AG193" s="27"/>
      <c r="AH193" s="6"/>
      <c r="AI193" s="5"/>
      <c r="AJ193" s="27"/>
      <c r="AK193" s="5"/>
      <c r="AL193" s="5"/>
      <c r="AM193" s="27"/>
      <c r="AN193" s="31"/>
      <c r="AO193" s="5"/>
      <c r="AP193" s="27"/>
      <c r="AQ193" s="5"/>
      <c r="AR193" s="5"/>
      <c r="AS193" s="27"/>
      <c r="AT193" s="31"/>
      <c r="AU193" s="5"/>
      <c r="AV193" s="27"/>
      <c r="AW193" s="5"/>
      <c r="AX193" s="5"/>
      <c r="AY193" s="27"/>
      <c r="AZ193" s="31"/>
      <c r="BA193" s="5"/>
      <c r="BB193" s="27"/>
      <c r="BC193" s="5"/>
      <c r="BD193" s="5"/>
      <c r="BE193" s="27"/>
      <c r="BF193" s="28"/>
    </row>
    <row r="194" spans="3:58" x14ac:dyDescent="0.25">
      <c r="C194" s="5"/>
      <c r="D194" s="27"/>
      <c r="E194" s="5"/>
      <c r="F194" s="27"/>
      <c r="G194" s="6"/>
      <c r="H194" s="5"/>
      <c r="I194" s="27"/>
      <c r="J194" s="5"/>
      <c r="K194" s="27"/>
      <c r="L194" s="31"/>
      <c r="M194" s="5"/>
      <c r="N194" s="27"/>
      <c r="O194" s="5"/>
      <c r="P194" s="27"/>
      <c r="Q194" s="31"/>
      <c r="R194" s="5"/>
      <c r="S194" s="27"/>
      <c r="T194" s="5"/>
      <c r="U194" s="27"/>
      <c r="V194" s="31"/>
      <c r="W194" s="5"/>
      <c r="X194" s="27"/>
      <c r="Y194" s="5"/>
      <c r="Z194" s="27"/>
      <c r="AA194" s="28"/>
      <c r="AB194" s="105"/>
      <c r="AC194" s="5"/>
      <c r="AD194" s="27"/>
      <c r="AE194" s="5"/>
      <c r="AF194" s="5"/>
      <c r="AG194" s="27"/>
      <c r="AH194" s="6"/>
      <c r="AI194" s="5"/>
      <c r="AJ194" s="27"/>
      <c r="AK194" s="5"/>
      <c r="AL194" s="5"/>
      <c r="AM194" s="27"/>
      <c r="AN194" s="31"/>
      <c r="AO194" s="5"/>
      <c r="AP194" s="27"/>
      <c r="AQ194" s="5"/>
      <c r="AR194" s="5"/>
      <c r="AS194" s="27"/>
      <c r="AT194" s="31"/>
      <c r="AU194" s="5"/>
      <c r="AV194" s="27"/>
      <c r="AW194" s="5"/>
      <c r="AX194" s="5"/>
      <c r="AY194" s="27"/>
      <c r="AZ194" s="31"/>
      <c r="BA194" s="5"/>
      <c r="BB194" s="27"/>
      <c r="BC194" s="5"/>
      <c r="BD194" s="5"/>
      <c r="BE194" s="27"/>
      <c r="BF194" s="28"/>
    </row>
    <row r="195" spans="3:58" x14ac:dyDescent="0.25">
      <c r="C195" s="5"/>
      <c r="D195" s="27"/>
      <c r="E195" s="5"/>
      <c r="F195" s="27"/>
      <c r="G195" s="6"/>
      <c r="H195" s="5"/>
      <c r="I195" s="27"/>
      <c r="J195" s="5"/>
      <c r="K195" s="27"/>
      <c r="L195" s="31"/>
      <c r="M195" s="5"/>
      <c r="N195" s="27"/>
      <c r="O195" s="5"/>
      <c r="P195" s="27"/>
      <c r="Q195" s="31"/>
      <c r="R195" s="5"/>
      <c r="S195" s="27"/>
      <c r="T195" s="5"/>
      <c r="U195" s="27"/>
      <c r="V195" s="31"/>
      <c r="W195" s="5"/>
      <c r="X195" s="27"/>
      <c r="Y195" s="5"/>
      <c r="Z195" s="27"/>
      <c r="AA195" s="28"/>
      <c r="AB195" s="105"/>
      <c r="AC195" s="5"/>
      <c r="AD195" s="27"/>
      <c r="AE195" s="5"/>
      <c r="AF195" s="5"/>
      <c r="AG195" s="27"/>
      <c r="AH195" s="6"/>
      <c r="AI195" s="5"/>
      <c r="AJ195" s="27"/>
      <c r="AK195" s="5"/>
      <c r="AL195" s="5"/>
      <c r="AM195" s="27"/>
      <c r="AN195" s="31"/>
      <c r="AO195" s="5"/>
      <c r="AP195" s="27"/>
      <c r="AQ195" s="5"/>
      <c r="AR195" s="5"/>
      <c r="AS195" s="27"/>
      <c r="AT195" s="31"/>
      <c r="AU195" s="5"/>
      <c r="AV195" s="27"/>
      <c r="AW195" s="5"/>
      <c r="AX195" s="5"/>
      <c r="AY195" s="27"/>
      <c r="AZ195" s="31"/>
      <c r="BA195" s="5"/>
      <c r="BB195" s="27"/>
      <c r="BC195" s="5"/>
      <c r="BD195" s="5"/>
      <c r="BE195" s="27"/>
      <c r="BF195" s="28"/>
    </row>
    <row r="196" spans="3:58" x14ac:dyDescent="0.25">
      <c r="C196" s="5"/>
      <c r="D196" s="27"/>
      <c r="E196" s="5"/>
      <c r="F196" s="27"/>
      <c r="G196" s="6"/>
      <c r="H196" s="5"/>
      <c r="I196" s="27"/>
      <c r="J196" s="5"/>
      <c r="K196" s="27"/>
      <c r="L196" s="31"/>
      <c r="M196" s="5"/>
      <c r="N196" s="27"/>
      <c r="O196" s="5"/>
      <c r="P196" s="27"/>
      <c r="Q196" s="31"/>
      <c r="R196" s="5"/>
      <c r="S196" s="27"/>
      <c r="T196" s="5"/>
      <c r="U196" s="27"/>
      <c r="V196" s="31"/>
      <c r="W196" s="5"/>
      <c r="X196" s="27"/>
      <c r="Y196" s="5"/>
      <c r="Z196" s="27"/>
      <c r="AA196" s="28"/>
      <c r="AB196" s="105"/>
      <c r="AC196" s="5"/>
      <c r="AD196" s="27"/>
      <c r="AE196" s="5"/>
      <c r="AF196" s="5"/>
      <c r="AG196" s="27"/>
      <c r="AH196" s="6"/>
      <c r="AI196" s="5"/>
      <c r="AJ196" s="27"/>
      <c r="AK196" s="5"/>
      <c r="AL196" s="5"/>
      <c r="AM196" s="27"/>
      <c r="AN196" s="31"/>
      <c r="AO196" s="5"/>
      <c r="AP196" s="27"/>
      <c r="AQ196" s="5"/>
      <c r="AR196" s="5"/>
      <c r="AS196" s="27"/>
      <c r="AT196" s="31"/>
      <c r="AU196" s="5"/>
      <c r="AV196" s="27"/>
      <c r="AW196" s="5"/>
      <c r="AX196" s="5"/>
      <c r="AY196" s="27"/>
      <c r="AZ196" s="31"/>
      <c r="BA196" s="5"/>
      <c r="BB196" s="27"/>
      <c r="BC196" s="5"/>
      <c r="BD196" s="5"/>
      <c r="BE196" s="27"/>
      <c r="BF196" s="28"/>
    </row>
    <row r="197" spans="3:58" x14ac:dyDescent="0.25">
      <c r="C197" s="5"/>
      <c r="D197" s="27"/>
      <c r="E197" s="5"/>
      <c r="F197" s="27"/>
      <c r="G197" s="6"/>
      <c r="H197" s="5"/>
      <c r="I197" s="27"/>
      <c r="J197" s="5"/>
      <c r="K197" s="27"/>
      <c r="L197" s="31"/>
      <c r="M197" s="5"/>
      <c r="N197" s="27"/>
      <c r="O197" s="5"/>
      <c r="P197" s="27"/>
      <c r="Q197" s="31"/>
      <c r="R197" s="5"/>
      <c r="S197" s="27"/>
      <c r="T197" s="5"/>
      <c r="U197" s="27"/>
      <c r="V197" s="31"/>
      <c r="W197" s="5"/>
      <c r="X197" s="27"/>
      <c r="Y197" s="5"/>
      <c r="Z197" s="27"/>
      <c r="AA197" s="28"/>
      <c r="AB197" s="105"/>
      <c r="AC197" s="5"/>
      <c r="AD197" s="27"/>
      <c r="AE197" s="5"/>
      <c r="AF197" s="5"/>
      <c r="AG197" s="27"/>
      <c r="AH197" s="6"/>
      <c r="AI197" s="5"/>
      <c r="AJ197" s="27"/>
      <c r="AK197" s="5"/>
      <c r="AL197" s="5"/>
      <c r="AM197" s="27"/>
      <c r="AN197" s="31"/>
      <c r="AO197" s="5"/>
      <c r="AP197" s="27"/>
      <c r="AQ197" s="5"/>
      <c r="AR197" s="5"/>
      <c r="AS197" s="27"/>
      <c r="AT197" s="31"/>
      <c r="AU197" s="5"/>
      <c r="AV197" s="27"/>
      <c r="AW197" s="5"/>
      <c r="AX197" s="5"/>
      <c r="AY197" s="27"/>
      <c r="AZ197" s="31"/>
      <c r="BA197" s="5"/>
      <c r="BB197" s="27"/>
      <c r="BC197" s="5"/>
      <c r="BD197" s="5"/>
      <c r="BE197" s="27"/>
      <c r="BF197" s="28"/>
    </row>
    <row r="198" spans="3:58" x14ac:dyDescent="0.25">
      <c r="C198" s="5"/>
      <c r="D198" s="27"/>
      <c r="E198" s="5"/>
      <c r="F198" s="27"/>
      <c r="G198" s="6"/>
      <c r="H198" s="5"/>
      <c r="I198" s="27"/>
      <c r="J198" s="5"/>
      <c r="K198" s="27"/>
      <c r="L198" s="31"/>
      <c r="M198" s="5"/>
      <c r="N198" s="27"/>
      <c r="O198" s="5"/>
      <c r="P198" s="27"/>
      <c r="Q198" s="31"/>
      <c r="R198" s="5"/>
      <c r="S198" s="27"/>
      <c r="T198" s="5"/>
      <c r="U198" s="27"/>
      <c r="V198" s="31"/>
      <c r="W198" s="5"/>
      <c r="X198" s="27"/>
      <c r="Y198" s="5"/>
      <c r="Z198" s="27"/>
      <c r="AA198" s="28"/>
      <c r="AB198" s="105"/>
      <c r="AC198" s="5"/>
      <c r="AD198" s="27"/>
      <c r="AE198" s="5"/>
      <c r="AF198" s="5"/>
      <c r="AG198" s="27"/>
      <c r="AH198" s="6"/>
      <c r="AI198" s="5"/>
      <c r="AJ198" s="27"/>
      <c r="AK198" s="5"/>
      <c r="AL198" s="5"/>
      <c r="AM198" s="27"/>
      <c r="AN198" s="31"/>
      <c r="AO198" s="5"/>
      <c r="AP198" s="27"/>
      <c r="AQ198" s="5"/>
      <c r="AR198" s="5"/>
      <c r="AS198" s="27"/>
      <c r="AT198" s="31"/>
      <c r="AU198" s="5"/>
      <c r="AV198" s="27"/>
      <c r="AW198" s="5"/>
      <c r="AX198" s="5"/>
      <c r="AY198" s="27"/>
      <c r="AZ198" s="31"/>
      <c r="BA198" s="5"/>
      <c r="BB198" s="27"/>
      <c r="BC198" s="5"/>
      <c r="BD198" s="5"/>
      <c r="BE198" s="27"/>
      <c r="BF198" s="28"/>
    </row>
    <row r="199" spans="3:58" x14ac:dyDescent="0.25">
      <c r="C199" s="5"/>
      <c r="D199" s="27"/>
      <c r="E199" s="5"/>
      <c r="F199" s="27"/>
      <c r="G199" s="6"/>
      <c r="H199" s="5"/>
      <c r="I199" s="27"/>
      <c r="J199" s="5"/>
      <c r="K199" s="27"/>
      <c r="L199" s="31"/>
      <c r="M199" s="5"/>
      <c r="N199" s="27"/>
      <c r="O199" s="5"/>
      <c r="P199" s="27"/>
      <c r="Q199" s="31"/>
      <c r="R199" s="5"/>
      <c r="S199" s="27"/>
      <c r="T199" s="5"/>
      <c r="U199" s="27"/>
      <c r="V199" s="31"/>
      <c r="W199" s="5"/>
      <c r="X199" s="27"/>
      <c r="Y199" s="5"/>
      <c r="Z199" s="27"/>
      <c r="AA199" s="28"/>
      <c r="AB199" s="105"/>
      <c r="AC199" s="5"/>
      <c r="AD199" s="27"/>
      <c r="AE199" s="5"/>
      <c r="AF199" s="5"/>
      <c r="AG199" s="27"/>
      <c r="AH199" s="6"/>
      <c r="AI199" s="5"/>
      <c r="AJ199" s="27"/>
      <c r="AK199" s="5"/>
      <c r="AL199" s="5"/>
      <c r="AM199" s="27"/>
      <c r="AN199" s="31"/>
      <c r="AO199" s="5"/>
      <c r="AP199" s="27"/>
      <c r="AQ199" s="5"/>
      <c r="AR199" s="5"/>
      <c r="AS199" s="27"/>
      <c r="AT199" s="31"/>
      <c r="AU199" s="5"/>
      <c r="AV199" s="27"/>
      <c r="AW199" s="5"/>
      <c r="AX199" s="5"/>
      <c r="AY199" s="27"/>
      <c r="AZ199" s="31"/>
      <c r="BA199" s="5"/>
      <c r="BB199" s="27"/>
      <c r="BC199" s="5"/>
      <c r="BD199" s="5"/>
      <c r="BE199" s="27"/>
      <c r="BF199" s="28"/>
    </row>
    <row r="200" spans="3:58" x14ac:dyDescent="0.25">
      <c r="C200" s="5"/>
      <c r="D200" s="27"/>
      <c r="E200" s="5"/>
      <c r="F200" s="27"/>
      <c r="G200" s="6"/>
      <c r="H200" s="5"/>
      <c r="I200" s="27"/>
      <c r="J200" s="5"/>
      <c r="K200" s="27"/>
      <c r="L200" s="31"/>
      <c r="M200" s="5"/>
      <c r="N200" s="27"/>
      <c r="O200" s="5"/>
      <c r="P200" s="27"/>
      <c r="Q200" s="31"/>
      <c r="R200" s="5"/>
      <c r="S200" s="27"/>
      <c r="T200" s="5"/>
      <c r="U200" s="27"/>
      <c r="V200" s="31"/>
      <c r="W200" s="5"/>
      <c r="X200" s="27"/>
      <c r="Y200" s="5"/>
      <c r="Z200" s="27"/>
      <c r="AA200" s="28"/>
      <c r="AB200" s="105"/>
      <c r="AC200" s="5"/>
      <c r="AD200" s="27"/>
      <c r="AE200" s="5"/>
      <c r="AF200" s="5"/>
      <c r="AG200" s="27"/>
      <c r="AH200" s="6"/>
      <c r="AI200" s="5"/>
      <c r="AJ200" s="27"/>
      <c r="AK200" s="5"/>
      <c r="AL200" s="5"/>
      <c r="AM200" s="27"/>
      <c r="AN200" s="31"/>
      <c r="AO200" s="5"/>
      <c r="AP200" s="27"/>
      <c r="AQ200" s="5"/>
      <c r="AR200" s="5"/>
      <c r="AS200" s="27"/>
      <c r="AT200" s="31"/>
      <c r="AU200" s="5"/>
      <c r="AV200" s="27"/>
      <c r="AW200" s="5"/>
      <c r="AX200" s="5"/>
      <c r="AY200" s="27"/>
      <c r="AZ200" s="31"/>
      <c r="BA200" s="5"/>
      <c r="BB200" s="27"/>
      <c r="BC200" s="5"/>
      <c r="BD200" s="5"/>
      <c r="BE200" s="27"/>
      <c r="BF200" s="28"/>
    </row>
    <row r="201" spans="3:58" x14ac:dyDescent="0.25">
      <c r="C201" s="5"/>
      <c r="D201" s="27"/>
      <c r="E201" s="5"/>
      <c r="F201" s="27"/>
      <c r="G201" s="6"/>
      <c r="H201" s="5"/>
      <c r="I201" s="27"/>
      <c r="J201" s="5"/>
      <c r="K201" s="27"/>
      <c r="L201" s="31"/>
      <c r="M201" s="5"/>
      <c r="N201" s="27"/>
      <c r="O201" s="5"/>
      <c r="P201" s="27"/>
      <c r="Q201" s="31"/>
      <c r="R201" s="5"/>
      <c r="S201" s="27"/>
      <c r="T201" s="5"/>
      <c r="U201" s="27"/>
      <c r="V201" s="31"/>
      <c r="W201" s="5"/>
      <c r="X201" s="27"/>
      <c r="Y201" s="5"/>
      <c r="Z201" s="27"/>
      <c r="AA201" s="28"/>
      <c r="AB201" s="105"/>
      <c r="AC201" s="5"/>
      <c r="AD201" s="27"/>
      <c r="AE201" s="5"/>
      <c r="AF201" s="5"/>
      <c r="AG201" s="27"/>
      <c r="AH201" s="6"/>
      <c r="AI201" s="5"/>
      <c r="AJ201" s="27"/>
      <c r="AK201" s="5"/>
      <c r="AL201" s="5"/>
      <c r="AM201" s="27"/>
      <c r="AN201" s="31"/>
      <c r="AO201" s="5"/>
      <c r="AP201" s="27"/>
      <c r="AQ201" s="5"/>
      <c r="AR201" s="5"/>
      <c r="AS201" s="27"/>
      <c r="AT201" s="31"/>
      <c r="AU201" s="5"/>
      <c r="AV201" s="27"/>
      <c r="AW201" s="5"/>
      <c r="AX201" s="5"/>
      <c r="AY201" s="27"/>
      <c r="AZ201" s="31"/>
      <c r="BA201" s="5"/>
      <c r="BB201" s="27"/>
      <c r="BC201" s="5"/>
      <c r="BD201" s="5"/>
      <c r="BE201" s="27"/>
      <c r="BF201" s="28"/>
    </row>
    <row r="202" spans="3:58" x14ac:dyDescent="0.25">
      <c r="C202" s="5"/>
      <c r="D202" s="27"/>
      <c r="E202" s="5"/>
      <c r="F202" s="27"/>
      <c r="G202" s="6"/>
      <c r="H202" s="5"/>
      <c r="I202" s="27"/>
      <c r="J202" s="5"/>
      <c r="K202" s="27"/>
      <c r="L202" s="31"/>
      <c r="M202" s="5"/>
      <c r="N202" s="27"/>
      <c r="O202" s="5"/>
      <c r="P202" s="27"/>
      <c r="Q202" s="31"/>
      <c r="R202" s="5"/>
      <c r="S202" s="27"/>
      <c r="T202" s="5"/>
      <c r="U202" s="27"/>
      <c r="V202" s="31"/>
      <c r="W202" s="5"/>
      <c r="X202" s="27"/>
      <c r="Y202" s="5"/>
      <c r="Z202" s="27"/>
      <c r="AA202" s="28"/>
      <c r="AB202" s="105"/>
      <c r="AC202" s="5"/>
      <c r="AD202" s="27"/>
      <c r="AE202" s="5"/>
      <c r="AF202" s="5"/>
      <c r="AG202" s="27"/>
      <c r="AH202" s="6"/>
      <c r="AI202" s="5"/>
      <c r="AJ202" s="27"/>
      <c r="AK202" s="5"/>
      <c r="AL202" s="5"/>
      <c r="AM202" s="27"/>
      <c r="AN202" s="31"/>
      <c r="AO202" s="5"/>
      <c r="AP202" s="27"/>
      <c r="AQ202" s="5"/>
      <c r="AR202" s="5"/>
      <c r="AS202" s="27"/>
      <c r="AT202" s="31"/>
      <c r="AU202" s="5"/>
      <c r="AV202" s="27"/>
      <c r="AW202" s="5"/>
      <c r="AX202" s="5"/>
      <c r="AY202" s="27"/>
      <c r="AZ202" s="31"/>
      <c r="BA202" s="5"/>
      <c r="BB202" s="27"/>
      <c r="BC202" s="5"/>
      <c r="BD202" s="5"/>
      <c r="BE202" s="27"/>
      <c r="BF202" s="28"/>
    </row>
    <row r="203" spans="3:58" x14ac:dyDescent="0.25">
      <c r="C203" s="5"/>
      <c r="D203" s="27"/>
      <c r="E203" s="5"/>
      <c r="F203" s="27"/>
      <c r="G203" s="6"/>
      <c r="H203" s="5"/>
      <c r="I203" s="27"/>
      <c r="J203" s="5"/>
      <c r="K203" s="27"/>
      <c r="L203" s="31"/>
      <c r="M203" s="5"/>
      <c r="N203" s="27"/>
      <c r="O203" s="5"/>
      <c r="P203" s="27"/>
      <c r="Q203" s="31"/>
      <c r="R203" s="5"/>
      <c r="S203" s="27"/>
      <c r="T203" s="5"/>
      <c r="U203" s="27"/>
      <c r="V203" s="31"/>
      <c r="W203" s="5"/>
      <c r="X203" s="27"/>
      <c r="Y203" s="5"/>
      <c r="Z203" s="27"/>
      <c r="AA203" s="28"/>
      <c r="AB203" s="105"/>
      <c r="AC203" s="5"/>
      <c r="AD203" s="27"/>
      <c r="AE203" s="5"/>
      <c r="AF203" s="5"/>
      <c r="AG203" s="27"/>
      <c r="AH203" s="6"/>
      <c r="AI203" s="5"/>
      <c r="AJ203" s="27"/>
      <c r="AK203" s="5"/>
      <c r="AL203" s="5"/>
      <c r="AM203" s="27"/>
      <c r="AN203" s="31"/>
      <c r="AO203" s="5"/>
      <c r="AP203" s="27"/>
      <c r="AQ203" s="5"/>
      <c r="AR203" s="5"/>
      <c r="AS203" s="27"/>
      <c r="AT203" s="31"/>
      <c r="AU203" s="5"/>
      <c r="AV203" s="27"/>
      <c r="AW203" s="5"/>
      <c r="AX203" s="5"/>
      <c r="AY203" s="27"/>
      <c r="AZ203" s="31"/>
      <c r="BA203" s="5"/>
      <c r="BB203" s="27"/>
      <c r="BC203" s="5"/>
      <c r="BD203" s="5"/>
      <c r="BE203" s="27"/>
      <c r="BF203" s="28"/>
    </row>
    <row r="204" spans="3:58" x14ac:dyDescent="0.25">
      <c r="C204" s="5"/>
      <c r="D204" s="27"/>
      <c r="E204" s="5"/>
      <c r="F204" s="27"/>
      <c r="G204" s="6"/>
      <c r="H204" s="5"/>
      <c r="I204" s="27"/>
      <c r="J204" s="5"/>
      <c r="K204" s="27"/>
      <c r="L204" s="31"/>
      <c r="M204" s="5"/>
      <c r="N204" s="27"/>
      <c r="O204" s="5"/>
      <c r="P204" s="27"/>
      <c r="Q204" s="31"/>
      <c r="R204" s="5"/>
      <c r="S204" s="27"/>
      <c r="T204" s="5"/>
      <c r="U204" s="27"/>
      <c r="V204" s="31"/>
      <c r="W204" s="5"/>
      <c r="X204" s="27"/>
      <c r="Y204" s="5"/>
      <c r="Z204" s="27"/>
      <c r="AA204" s="28"/>
      <c r="AB204" s="105"/>
      <c r="AC204" s="5"/>
      <c r="AD204" s="27"/>
      <c r="AE204" s="5"/>
      <c r="AF204" s="5"/>
      <c r="AG204" s="27"/>
      <c r="AH204" s="6"/>
      <c r="AI204" s="5"/>
      <c r="AJ204" s="27"/>
      <c r="AK204" s="5"/>
      <c r="AL204" s="5"/>
      <c r="AM204" s="27"/>
      <c r="AN204" s="31"/>
      <c r="AO204" s="5"/>
      <c r="AP204" s="27"/>
      <c r="AQ204" s="5"/>
      <c r="AR204" s="5"/>
      <c r="AS204" s="27"/>
      <c r="AT204" s="31"/>
      <c r="AU204" s="5"/>
      <c r="AV204" s="27"/>
      <c r="AW204" s="5"/>
      <c r="AX204" s="5"/>
      <c r="AY204" s="27"/>
      <c r="AZ204" s="31"/>
      <c r="BA204" s="5"/>
      <c r="BB204" s="27"/>
      <c r="BC204" s="5"/>
      <c r="BD204" s="5"/>
      <c r="BE204" s="27"/>
      <c r="BF204" s="28"/>
    </row>
    <row r="205" spans="3:58" x14ac:dyDescent="0.25">
      <c r="C205" s="5"/>
      <c r="D205" s="27"/>
      <c r="E205" s="5"/>
      <c r="F205" s="27"/>
      <c r="G205" s="6"/>
      <c r="H205" s="5"/>
      <c r="I205" s="27"/>
      <c r="J205" s="5"/>
      <c r="K205" s="27"/>
      <c r="L205" s="31"/>
      <c r="M205" s="5"/>
      <c r="N205" s="27"/>
      <c r="O205" s="5"/>
      <c r="P205" s="27"/>
      <c r="Q205" s="31"/>
      <c r="R205" s="5"/>
      <c r="S205" s="27"/>
      <c r="T205" s="5"/>
      <c r="U205" s="27"/>
      <c r="V205" s="31"/>
      <c r="W205" s="5"/>
      <c r="X205" s="27"/>
      <c r="Y205" s="5"/>
      <c r="Z205" s="27"/>
      <c r="AA205" s="28"/>
      <c r="AB205" s="105"/>
      <c r="AC205" s="5"/>
      <c r="AD205" s="27"/>
      <c r="AE205" s="5"/>
      <c r="AF205" s="5"/>
      <c r="AG205" s="27"/>
      <c r="AH205" s="6"/>
      <c r="AI205" s="5"/>
      <c r="AJ205" s="27"/>
      <c r="AK205" s="5"/>
      <c r="AL205" s="5"/>
      <c r="AM205" s="27"/>
      <c r="AN205" s="31"/>
      <c r="AO205" s="5"/>
      <c r="AP205" s="27"/>
      <c r="AQ205" s="5"/>
      <c r="AR205" s="5"/>
      <c r="AS205" s="27"/>
      <c r="AT205" s="31"/>
      <c r="AU205" s="5"/>
      <c r="AV205" s="27"/>
      <c r="AW205" s="5"/>
      <c r="AX205" s="5"/>
      <c r="AY205" s="27"/>
      <c r="AZ205" s="31"/>
      <c r="BA205" s="5"/>
      <c r="BB205" s="27"/>
      <c r="BC205" s="5"/>
      <c r="BD205" s="5"/>
      <c r="BE205" s="27"/>
      <c r="BF205" s="28"/>
    </row>
    <row r="206" spans="3:58" x14ac:dyDescent="0.25">
      <c r="C206" s="5"/>
      <c r="D206" s="27"/>
      <c r="E206" s="5"/>
      <c r="F206" s="27"/>
      <c r="G206" s="6"/>
      <c r="H206" s="5"/>
      <c r="I206" s="27"/>
      <c r="J206" s="5"/>
      <c r="K206" s="27"/>
      <c r="L206" s="31"/>
      <c r="M206" s="5"/>
      <c r="N206" s="27"/>
      <c r="O206" s="5"/>
      <c r="P206" s="27"/>
      <c r="Q206" s="31"/>
      <c r="R206" s="5"/>
      <c r="S206" s="27"/>
      <c r="T206" s="5"/>
      <c r="U206" s="27"/>
      <c r="V206" s="31"/>
      <c r="W206" s="5"/>
      <c r="X206" s="27"/>
      <c r="Y206" s="5"/>
      <c r="Z206" s="27"/>
      <c r="AA206" s="28"/>
      <c r="AB206" s="105"/>
      <c r="AC206" s="5"/>
      <c r="AD206" s="27"/>
      <c r="AE206" s="5"/>
      <c r="AF206" s="5"/>
      <c r="AG206" s="27"/>
      <c r="AH206" s="6"/>
      <c r="AI206" s="5"/>
      <c r="AJ206" s="27"/>
      <c r="AK206" s="5"/>
      <c r="AL206" s="5"/>
      <c r="AM206" s="27"/>
      <c r="AN206" s="31"/>
      <c r="AO206" s="5"/>
      <c r="AP206" s="27"/>
      <c r="AQ206" s="5"/>
      <c r="AR206" s="5"/>
      <c r="AS206" s="27"/>
      <c r="AT206" s="31"/>
      <c r="AU206" s="5"/>
      <c r="AV206" s="27"/>
      <c r="AW206" s="5"/>
      <c r="AX206" s="5"/>
      <c r="AY206" s="27"/>
      <c r="AZ206" s="31"/>
      <c r="BA206" s="5"/>
      <c r="BB206" s="27"/>
      <c r="BC206" s="5"/>
      <c r="BD206" s="5"/>
      <c r="BE206" s="27"/>
      <c r="BF206" s="28"/>
    </row>
    <row r="207" spans="3:58" x14ac:dyDescent="0.25">
      <c r="C207" s="5"/>
      <c r="D207" s="27"/>
      <c r="E207" s="5"/>
      <c r="F207" s="27"/>
      <c r="G207" s="6"/>
      <c r="H207" s="5"/>
      <c r="I207" s="27"/>
      <c r="J207" s="5"/>
      <c r="K207" s="27"/>
      <c r="L207" s="31"/>
      <c r="M207" s="5"/>
      <c r="N207" s="27"/>
      <c r="O207" s="5"/>
      <c r="P207" s="27"/>
      <c r="Q207" s="31"/>
      <c r="R207" s="5"/>
      <c r="S207" s="27"/>
      <c r="T207" s="5"/>
      <c r="U207" s="27"/>
      <c r="V207" s="31"/>
      <c r="W207" s="5"/>
      <c r="X207" s="27"/>
      <c r="Y207" s="5"/>
      <c r="Z207" s="27"/>
      <c r="AA207" s="28"/>
      <c r="AB207" s="105"/>
      <c r="AC207" s="5"/>
      <c r="AD207" s="27"/>
      <c r="AE207" s="5"/>
      <c r="AF207" s="5"/>
      <c r="AG207" s="27"/>
      <c r="AH207" s="6"/>
      <c r="AI207" s="5"/>
      <c r="AJ207" s="27"/>
      <c r="AK207" s="5"/>
      <c r="AL207" s="5"/>
      <c r="AM207" s="27"/>
      <c r="AN207" s="31"/>
      <c r="AO207" s="5"/>
      <c r="AP207" s="27"/>
      <c r="AQ207" s="5"/>
      <c r="AR207" s="5"/>
      <c r="AS207" s="27"/>
      <c r="AT207" s="31"/>
      <c r="AU207" s="5"/>
      <c r="AV207" s="27"/>
      <c r="AW207" s="5"/>
      <c r="AX207" s="5"/>
      <c r="AY207" s="27"/>
      <c r="AZ207" s="31"/>
      <c r="BA207" s="5"/>
      <c r="BB207" s="27"/>
      <c r="BC207" s="5"/>
      <c r="BD207" s="5"/>
      <c r="BE207" s="27"/>
      <c r="BF207" s="28"/>
    </row>
    <row r="208" spans="3:58" x14ac:dyDescent="0.25">
      <c r="C208" s="5"/>
      <c r="D208" s="27"/>
      <c r="E208" s="5"/>
      <c r="F208" s="27"/>
      <c r="G208" s="6"/>
      <c r="H208" s="5"/>
      <c r="I208" s="27"/>
      <c r="J208" s="5"/>
      <c r="K208" s="27"/>
      <c r="L208" s="31"/>
      <c r="M208" s="5"/>
      <c r="N208" s="27"/>
      <c r="O208" s="5"/>
      <c r="P208" s="27"/>
      <c r="Q208" s="31"/>
      <c r="R208" s="5"/>
      <c r="S208" s="27"/>
      <c r="T208" s="5"/>
      <c r="U208" s="27"/>
      <c r="V208" s="31"/>
      <c r="W208" s="5"/>
      <c r="X208" s="27"/>
      <c r="Y208" s="5"/>
      <c r="Z208" s="27"/>
      <c r="AA208" s="28"/>
      <c r="AB208" s="105"/>
      <c r="AC208" s="5"/>
      <c r="AD208" s="27"/>
      <c r="AE208" s="5"/>
      <c r="AF208" s="5"/>
      <c r="AG208" s="27"/>
      <c r="AH208" s="6"/>
      <c r="AI208" s="5"/>
      <c r="AJ208" s="27"/>
      <c r="AK208" s="5"/>
      <c r="AL208" s="5"/>
      <c r="AM208" s="27"/>
      <c r="AN208" s="31"/>
      <c r="AO208" s="5"/>
      <c r="AP208" s="27"/>
      <c r="AQ208" s="5"/>
      <c r="AR208" s="5"/>
      <c r="AS208" s="27"/>
      <c r="AT208" s="31"/>
      <c r="AU208" s="5"/>
      <c r="AV208" s="27"/>
      <c r="AW208" s="5"/>
      <c r="AX208" s="5"/>
      <c r="AY208" s="27"/>
      <c r="AZ208" s="31"/>
      <c r="BA208" s="5"/>
      <c r="BB208" s="27"/>
      <c r="BC208" s="5"/>
      <c r="BD208" s="5"/>
      <c r="BE208" s="27"/>
      <c r="BF208" s="28"/>
    </row>
    <row r="209" spans="3:58" x14ac:dyDescent="0.25">
      <c r="C209" s="5"/>
      <c r="D209" s="27"/>
      <c r="E209" s="5"/>
      <c r="F209" s="27"/>
      <c r="G209" s="6"/>
      <c r="H209" s="5"/>
      <c r="I209" s="27"/>
      <c r="J209" s="5"/>
      <c r="K209" s="27"/>
      <c r="L209" s="31"/>
      <c r="M209" s="5"/>
      <c r="N209" s="27"/>
      <c r="O209" s="5"/>
      <c r="P209" s="27"/>
      <c r="Q209" s="31"/>
      <c r="R209" s="5"/>
      <c r="S209" s="27"/>
      <c r="T209" s="5"/>
      <c r="U209" s="27"/>
      <c r="V209" s="31"/>
      <c r="W209" s="5"/>
      <c r="X209" s="27"/>
      <c r="Y209" s="5"/>
      <c r="Z209" s="27"/>
      <c r="AA209" s="28"/>
      <c r="AB209" s="105"/>
      <c r="AC209" s="5"/>
      <c r="AD209" s="27"/>
      <c r="AE209" s="5"/>
      <c r="AF209" s="5"/>
      <c r="AG209" s="27"/>
      <c r="AH209" s="6"/>
      <c r="AI209" s="5"/>
      <c r="AJ209" s="27"/>
      <c r="AK209" s="5"/>
      <c r="AL209" s="5"/>
      <c r="AM209" s="27"/>
      <c r="AN209" s="31"/>
      <c r="AO209" s="5"/>
      <c r="AP209" s="27"/>
      <c r="AQ209" s="5"/>
      <c r="AR209" s="5"/>
      <c r="AS209" s="27"/>
      <c r="AT209" s="31"/>
      <c r="AU209" s="5"/>
      <c r="AV209" s="27"/>
      <c r="AW209" s="5"/>
      <c r="AX209" s="5"/>
      <c r="AY209" s="27"/>
      <c r="AZ209" s="31"/>
      <c r="BA209" s="5"/>
      <c r="BB209" s="27"/>
      <c r="BC209" s="5"/>
      <c r="BD209" s="5"/>
      <c r="BE209" s="27"/>
      <c r="BF209" s="28"/>
    </row>
    <row r="210" spans="3:58" x14ac:dyDescent="0.25">
      <c r="C210" s="5"/>
      <c r="D210" s="27"/>
      <c r="E210" s="5"/>
      <c r="F210" s="27"/>
      <c r="G210" s="6"/>
      <c r="H210" s="5"/>
      <c r="I210" s="27"/>
      <c r="J210" s="5"/>
      <c r="K210" s="27"/>
      <c r="L210" s="31"/>
      <c r="M210" s="5"/>
      <c r="N210" s="27"/>
      <c r="O210" s="5"/>
      <c r="P210" s="27"/>
      <c r="Q210" s="31"/>
      <c r="R210" s="5"/>
      <c r="S210" s="27"/>
      <c r="T210" s="5"/>
      <c r="U210" s="27"/>
      <c r="V210" s="31"/>
      <c r="W210" s="5"/>
      <c r="X210" s="27"/>
      <c r="Y210" s="5"/>
      <c r="Z210" s="27"/>
      <c r="AA210" s="28"/>
      <c r="AB210" s="105"/>
      <c r="AC210" s="5"/>
      <c r="AD210" s="27"/>
      <c r="AE210" s="5"/>
      <c r="AF210" s="5"/>
      <c r="AG210" s="27"/>
      <c r="AH210" s="6"/>
      <c r="AI210" s="5"/>
      <c r="AJ210" s="27"/>
      <c r="AK210" s="5"/>
      <c r="AL210" s="5"/>
      <c r="AM210" s="27"/>
      <c r="AN210" s="31"/>
      <c r="AO210" s="5"/>
      <c r="AP210" s="27"/>
      <c r="AQ210" s="5"/>
      <c r="AR210" s="5"/>
      <c r="AS210" s="27"/>
      <c r="AT210" s="31"/>
      <c r="AU210" s="5"/>
      <c r="AV210" s="27"/>
      <c r="AW210" s="5"/>
      <c r="AX210" s="5"/>
      <c r="AY210" s="27"/>
      <c r="AZ210" s="31"/>
      <c r="BA210" s="5"/>
      <c r="BB210" s="27"/>
      <c r="BC210" s="5"/>
      <c r="BD210" s="5"/>
      <c r="BE210" s="27"/>
      <c r="BF210" s="28"/>
    </row>
    <row r="211" spans="3:58" x14ac:dyDescent="0.25">
      <c r="C211" s="5"/>
      <c r="D211" s="27"/>
      <c r="E211" s="5"/>
      <c r="F211" s="27"/>
      <c r="G211" s="6"/>
      <c r="H211" s="5"/>
      <c r="I211" s="27"/>
      <c r="J211" s="5"/>
      <c r="K211" s="27"/>
      <c r="L211" s="31"/>
      <c r="M211" s="5"/>
      <c r="N211" s="27"/>
      <c r="O211" s="5"/>
      <c r="P211" s="27"/>
      <c r="Q211" s="31"/>
      <c r="R211" s="5"/>
      <c r="S211" s="27"/>
      <c r="T211" s="5"/>
      <c r="U211" s="27"/>
      <c r="V211" s="31"/>
      <c r="W211" s="5"/>
      <c r="X211" s="27"/>
      <c r="Y211" s="5"/>
      <c r="Z211" s="27"/>
      <c r="AA211" s="28"/>
      <c r="AB211" s="105"/>
      <c r="AC211" s="5"/>
      <c r="AD211" s="27"/>
      <c r="AE211" s="5"/>
      <c r="AF211" s="5"/>
      <c r="AG211" s="27"/>
      <c r="AH211" s="6"/>
      <c r="AI211" s="5"/>
      <c r="AJ211" s="27"/>
      <c r="AK211" s="5"/>
      <c r="AL211" s="5"/>
      <c r="AM211" s="27"/>
      <c r="AN211" s="31"/>
      <c r="AO211" s="5"/>
      <c r="AP211" s="27"/>
      <c r="AQ211" s="5"/>
      <c r="AR211" s="5"/>
      <c r="AS211" s="27"/>
      <c r="AT211" s="31"/>
      <c r="AU211" s="5"/>
      <c r="AV211" s="27"/>
      <c r="AW211" s="5"/>
      <c r="AX211" s="5"/>
      <c r="AY211" s="27"/>
      <c r="AZ211" s="31"/>
      <c r="BA211" s="5"/>
      <c r="BB211" s="27"/>
      <c r="BC211" s="5"/>
      <c r="BD211" s="5"/>
      <c r="BE211" s="27"/>
      <c r="BF211" s="28"/>
    </row>
    <row r="212" spans="3:58" x14ac:dyDescent="0.25">
      <c r="C212" s="5"/>
      <c r="D212" s="27"/>
      <c r="E212" s="5"/>
      <c r="F212" s="27"/>
      <c r="G212" s="6"/>
      <c r="H212" s="5"/>
      <c r="I212" s="27"/>
      <c r="J212" s="5"/>
      <c r="K212" s="27"/>
      <c r="L212" s="31"/>
      <c r="M212" s="5"/>
      <c r="N212" s="27"/>
      <c r="O212" s="5"/>
      <c r="P212" s="27"/>
      <c r="Q212" s="31"/>
      <c r="R212" s="5"/>
      <c r="S212" s="27"/>
      <c r="T212" s="5"/>
      <c r="U212" s="27"/>
      <c r="V212" s="31"/>
      <c r="W212" s="5"/>
      <c r="X212" s="27"/>
      <c r="Y212" s="5"/>
      <c r="Z212" s="27"/>
      <c r="AA212" s="28"/>
      <c r="AB212" s="105"/>
      <c r="AC212" s="5"/>
      <c r="AD212" s="27"/>
      <c r="AE212" s="5"/>
      <c r="AF212" s="5"/>
      <c r="AG212" s="27"/>
      <c r="AH212" s="6"/>
      <c r="AI212" s="5"/>
      <c r="AJ212" s="27"/>
      <c r="AK212" s="5"/>
      <c r="AL212" s="5"/>
      <c r="AM212" s="27"/>
      <c r="AN212" s="31"/>
      <c r="AO212" s="5"/>
      <c r="AP212" s="27"/>
      <c r="AQ212" s="5"/>
      <c r="AR212" s="5"/>
      <c r="AS212" s="27"/>
      <c r="AT212" s="31"/>
      <c r="AU212" s="5"/>
      <c r="AV212" s="27"/>
      <c r="AW212" s="5"/>
      <c r="AX212" s="5"/>
      <c r="AY212" s="27"/>
      <c r="AZ212" s="31"/>
      <c r="BA212" s="5"/>
      <c r="BB212" s="27"/>
      <c r="BC212" s="5"/>
      <c r="BD212" s="5"/>
      <c r="BE212" s="27"/>
      <c r="BF212" s="28"/>
    </row>
    <row r="213" spans="3:58" x14ac:dyDescent="0.25">
      <c r="C213" s="5"/>
      <c r="D213" s="27"/>
      <c r="E213" s="5"/>
      <c r="F213" s="27"/>
      <c r="G213" s="6"/>
      <c r="H213" s="5"/>
      <c r="I213" s="27"/>
      <c r="J213" s="5"/>
      <c r="K213" s="27"/>
      <c r="L213" s="31"/>
      <c r="M213" s="5"/>
      <c r="N213" s="27"/>
      <c r="O213" s="5"/>
      <c r="P213" s="27"/>
      <c r="Q213" s="31"/>
      <c r="R213" s="5"/>
      <c r="S213" s="27"/>
      <c r="T213" s="5"/>
      <c r="U213" s="27"/>
      <c r="V213" s="31"/>
      <c r="W213" s="5"/>
      <c r="X213" s="27"/>
      <c r="Y213" s="5"/>
      <c r="Z213" s="27"/>
      <c r="AA213" s="28"/>
      <c r="AB213" s="105"/>
      <c r="AC213" s="5"/>
      <c r="AD213" s="27"/>
      <c r="AE213" s="5"/>
      <c r="AF213" s="5"/>
      <c r="AG213" s="27"/>
      <c r="AH213" s="6"/>
      <c r="AI213" s="5"/>
      <c r="AJ213" s="27"/>
      <c r="AK213" s="5"/>
      <c r="AL213" s="5"/>
      <c r="AM213" s="27"/>
      <c r="AN213" s="31"/>
      <c r="AO213" s="5"/>
      <c r="AP213" s="27"/>
      <c r="AQ213" s="5"/>
      <c r="AR213" s="5"/>
      <c r="AS213" s="27"/>
      <c r="AT213" s="31"/>
      <c r="AU213" s="5"/>
      <c r="AV213" s="27"/>
      <c r="AW213" s="5"/>
      <c r="AX213" s="5"/>
      <c r="AY213" s="27"/>
      <c r="AZ213" s="31"/>
      <c r="BA213" s="5"/>
      <c r="BB213" s="27"/>
      <c r="BC213" s="5"/>
      <c r="BD213" s="5"/>
      <c r="BE213" s="27"/>
      <c r="BF213" s="28"/>
    </row>
    <row r="214" spans="3:58" x14ac:dyDescent="0.25">
      <c r="C214" s="5"/>
      <c r="D214" s="27"/>
      <c r="E214" s="5"/>
      <c r="F214" s="27"/>
      <c r="G214" s="6"/>
      <c r="H214" s="5"/>
      <c r="I214" s="27"/>
      <c r="J214" s="5"/>
      <c r="K214" s="27"/>
      <c r="L214" s="31"/>
      <c r="M214" s="5"/>
      <c r="N214" s="27"/>
      <c r="O214" s="5"/>
      <c r="P214" s="27"/>
      <c r="Q214" s="31"/>
      <c r="R214" s="5"/>
      <c r="S214" s="27"/>
      <c r="T214" s="5"/>
      <c r="U214" s="27"/>
      <c r="V214" s="31"/>
      <c r="W214" s="5"/>
      <c r="X214" s="27"/>
      <c r="Y214" s="5"/>
      <c r="Z214" s="27"/>
      <c r="AA214" s="28"/>
      <c r="AB214" s="105"/>
      <c r="AC214" s="5"/>
      <c r="AD214" s="27"/>
      <c r="AE214" s="5"/>
      <c r="AF214" s="5"/>
      <c r="AG214" s="27"/>
      <c r="AH214" s="6"/>
      <c r="AI214" s="5"/>
      <c r="AJ214" s="27"/>
      <c r="AK214" s="5"/>
      <c r="AL214" s="5"/>
      <c r="AM214" s="27"/>
      <c r="AN214" s="31"/>
      <c r="AO214" s="5"/>
      <c r="AP214" s="27"/>
      <c r="AQ214" s="5"/>
      <c r="AR214" s="5"/>
      <c r="AS214" s="27"/>
      <c r="AT214" s="31"/>
      <c r="AU214" s="5"/>
      <c r="AV214" s="27"/>
      <c r="AW214" s="5"/>
      <c r="AX214" s="5"/>
      <c r="AY214" s="27"/>
      <c r="AZ214" s="31"/>
      <c r="BA214" s="5"/>
      <c r="BB214" s="27"/>
      <c r="BC214" s="5"/>
      <c r="BD214" s="5"/>
      <c r="BE214" s="27"/>
      <c r="BF214" s="28"/>
    </row>
    <row r="215" spans="3:58" x14ac:dyDescent="0.25">
      <c r="C215" s="5"/>
      <c r="D215" s="27"/>
      <c r="E215" s="5"/>
      <c r="F215" s="27"/>
      <c r="G215" s="6"/>
      <c r="H215" s="5"/>
      <c r="I215" s="27"/>
      <c r="J215" s="5"/>
      <c r="K215" s="27"/>
      <c r="L215" s="31"/>
      <c r="M215" s="5"/>
      <c r="N215" s="27"/>
      <c r="O215" s="5"/>
      <c r="P215" s="27"/>
      <c r="Q215" s="31"/>
      <c r="R215" s="5"/>
      <c r="S215" s="27"/>
      <c r="T215" s="5"/>
      <c r="U215" s="27"/>
      <c r="V215" s="31"/>
      <c r="W215" s="5"/>
      <c r="X215" s="27"/>
      <c r="Y215" s="5"/>
      <c r="Z215" s="27"/>
      <c r="AA215" s="28"/>
      <c r="AB215" s="105"/>
      <c r="AC215" s="5"/>
      <c r="AD215" s="27"/>
      <c r="AE215" s="5"/>
      <c r="AF215" s="5"/>
      <c r="AG215" s="27"/>
      <c r="AH215" s="6"/>
      <c r="AI215" s="5"/>
      <c r="AJ215" s="27"/>
      <c r="AK215" s="5"/>
      <c r="AL215" s="5"/>
      <c r="AM215" s="27"/>
      <c r="AN215" s="31"/>
      <c r="AO215" s="5"/>
      <c r="AP215" s="27"/>
      <c r="AQ215" s="5"/>
      <c r="AR215" s="5"/>
      <c r="AS215" s="27"/>
      <c r="AT215" s="31"/>
      <c r="AU215" s="5"/>
      <c r="AV215" s="27"/>
      <c r="AW215" s="5"/>
      <c r="AX215" s="5"/>
      <c r="AY215" s="27"/>
      <c r="AZ215" s="31"/>
      <c r="BA215" s="5"/>
      <c r="BB215" s="27"/>
      <c r="BC215" s="5"/>
      <c r="BD215" s="5"/>
      <c r="BE215" s="27"/>
      <c r="BF215" s="28"/>
    </row>
    <row r="216" spans="3:58" x14ac:dyDescent="0.25">
      <c r="C216" s="5"/>
      <c r="D216" s="27"/>
      <c r="E216" s="5"/>
      <c r="F216" s="27"/>
      <c r="G216" s="6"/>
      <c r="H216" s="5"/>
      <c r="I216" s="27"/>
      <c r="J216" s="5"/>
      <c r="K216" s="27"/>
      <c r="L216" s="31"/>
      <c r="M216" s="5"/>
      <c r="N216" s="27"/>
      <c r="O216" s="5"/>
      <c r="P216" s="27"/>
      <c r="Q216" s="31"/>
      <c r="R216" s="5"/>
      <c r="S216" s="27"/>
      <c r="T216" s="5"/>
      <c r="U216" s="27"/>
      <c r="V216" s="31"/>
      <c r="W216" s="5"/>
      <c r="X216" s="27"/>
      <c r="Y216" s="5"/>
      <c r="Z216" s="27"/>
      <c r="AA216" s="28"/>
      <c r="AB216" s="105"/>
      <c r="AC216" s="5"/>
      <c r="AD216" s="27"/>
      <c r="AE216" s="5"/>
      <c r="AF216" s="5"/>
      <c r="AG216" s="27"/>
      <c r="AH216" s="6"/>
      <c r="AI216" s="5"/>
      <c r="AJ216" s="27"/>
      <c r="AK216" s="5"/>
      <c r="AL216" s="5"/>
      <c r="AM216" s="27"/>
      <c r="AN216" s="31"/>
      <c r="AO216" s="5"/>
      <c r="AP216" s="27"/>
      <c r="AQ216" s="5"/>
      <c r="AR216" s="5"/>
      <c r="AS216" s="27"/>
      <c r="AT216" s="31"/>
      <c r="AU216" s="5"/>
      <c r="AV216" s="27"/>
      <c r="AW216" s="5"/>
      <c r="AX216" s="5"/>
      <c r="AY216" s="27"/>
      <c r="AZ216" s="31"/>
      <c r="BA216" s="5"/>
      <c r="BB216" s="27"/>
      <c r="BC216" s="5"/>
      <c r="BD216" s="5"/>
      <c r="BE216" s="27"/>
      <c r="BF216" s="28"/>
    </row>
    <row r="217" spans="3:58" x14ac:dyDescent="0.25">
      <c r="C217" s="5"/>
      <c r="D217" s="27"/>
      <c r="E217" s="5"/>
      <c r="F217" s="27"/>
      <c r="G217" s="6"/>
      <c r="H217" s="5"/>
      <c r="I217" s="27"/>
      <c r="J217" s="5"/>
      <c r="K217" s="27"/>
      <c r="L217" s="31"/>
      <c r="M217" s="5"/>
      <c r="N217" s="27"/>
      <c r="O217" s="5"/>
      <c r="P217" s="27"/>
      <c r="Q217" s="31"/>
      <c r="R217" s="5"/>
      <c r="S217" s="27"/>
      <c r="T217" s="5"/>
      <c r="U217" s="27"/>
      <c r="V217" s="31"/>
      <c r="W217" s="5"/>
      <c r="X217" s="27"/>
      <c r="Y217" s="5"/>
      <c r="Z217" s="27"/>
      <c r="AA217" s="28"/>
      <c r="AB217" s="105"/>
      <c r="AC217" s="5"/>
      <c r="AD217" s="27"/>
      <c r="AE217" s="5"/>
      <c r="AF217" s="5"/>
      <c r="AG217" s="27"/>
      <c r="AH217" s="6"/>
      <c r="AI217" s="5"/>
      <c r="AJ217" s="27"/>
      <c r="AK217" s="5"/>
      <c r="AL217" s="5"/>
      <c r="AM217" s="27"/>
      <c r="AN217" s="31"/>
      <c r="AO217" s="5"/>
      <c r="AP217" s="27"/>
      <c r="AQ217" s="5"/>
      <c r="AR217" s="5"/>
      <c r="AS217" s="27"/>
      <c r="AT217" s="31"/>
      <c r="AU217" s="5"/>
      <c r="AV217" s="27"/>
      <c r="AW217" s="5"/>
      <c r="AX217" s="5"/>
      <c r="AY217" s="27"/>
      <c r="AZ217" s="31"/>
      <c r="BA217" s="5"/>
      <c r="BB217" s="27"/>
      <c r="BC217" s="5"/>
      <c r="BD217" s="5"/>
      <c r="BE217" s="27"/>
      <c r="BF217" s="28"/>
    </row>
    <row r="218" spans="3:58" x14ac:dyDescent="0.25">
      <c r="C218" s="5"/>
      <c r="D218" s="27"/>
      <c r="E218" s="5"/>
      <c r="F218" s="27"/>
      <c r="G218" s="6"/>
      <c r="H218" s="5"/>
      <c r="I218" s="27"/>
      <c r="J218" s="5"/>
      <c r="K218" s="27"/>
      <c r="L218" s="31"/>
      <c r="M218" s="5"/>
      <c r="N218" s="27"/>
      <c r="O218" s="5"/>
      <c r="P218" s="27"/>
      <c r="Q218" s="31"/>
      <c r="R218" s="5"/>
      <c r="S218" s="27"/>
      <c r="T218" s="5"/>
      <c r="U218" s="27"/>
      <c r="V218" s="31"/>
      <c r="W218" s="5"/>
      <c r="X218" s="27"/>
      <c r="Y218" s="5"/>
      <c r="Z218" s="27"/>
      <c r="AA218" s="28"/>
      <c r="AB218" s="105"/>
      <c r="AC218" s="5"/>
      <c r="AD218" s="27"/>
      <c r="AE218" s="5"/>
      <c r="AF218" s="5"/>
      <c r="AG218" s="27"/>
      <c r="AH218" s="6"/>
      <c r="AI218" s="5"/>
      <c r="AJ218" s="27"/>
      <c r="AK218" s="5"/>
      <c r="AL218" s="5"/>
      <c r="AM218" s="27"/>
      <c r="AN218" s="31"/>
      <c r="AO218" s="5"/>
      <c r="AP218" s="27"/>
      <c r="AQ218" s="5"/>
      <c r="AR218" s="5"/>
      <c r="AS218" s="27"/>
      <c r="AT218" s="31"/>
      <c r="AU218" s="5"/>
      <c r="AV218" s="27"/>
      <c r="AW218" s="5"/>
      <c r="AX218" s="5"/>
      <c r="AY218" s="27"/>
      <c r="AZ218" s="31"/>
      <c r="BA218" s="5"/>
      <c r="BB218" s="27"/>
      <c r="BC218" s="5"/>
      <c r="BD218" s="5"/>
      <c r="BE218" s="27"/>
      <c r="BF218" s="28"/>
    </row>
    <row r="219" spans="3:58" x14ac:dyDescent="0.25">
      <c r="C219" s="5"/>
      <c r="D219" s="27"/>
      <c r="E219" s="5"/>
      <c r="F219" s="27"/>
      <c r="G219" s="6"/>
      <c r="H219" s="5"/>
      <c r="I219" s="27"/>
      <c r="J219" s="5"/>
      <c r="K219" s="27"/>
      <c r="L219" s="31"/>
      <c r="M219" s="5"/>
      <c r="N219" s="27"/>
      <c r="O219" s="5"/>
      <c r="P219" s="27"/>
      <c r="Q219" s="31"/>
      <c r="R219" s="5"/>
      <c r="S219" s="27"/>
      <c r="T219" s="5"/>
      <c r="U219" s="27"/>
      <c r="V219" s="31"/>
      <c r="W219" s="5"/>
      <c r="X219" s="27"/>
      <c r="Y219" s="5"/>
      <c r="Z219" s="27"/>
      <c r="AA219" s="28"/>
      <c r="AB219" s="105"/>
      <c r="AC219" s="5"/>
      <c r="AD219" s="27"/>
      <c r="AE219" s="5"/>
      <c r="AF219" s="5"/>
      <c r="AG219" s="27"/>
      <c r="AH219" s="6"/>
      <c r="AI219" s="5"/>
      <c r="AJ219" s="27"/>
      <c r="AK219" s="5"/>
      <c r="AL219" s="5"/>
      <c r="AM219" s="27"/>
      <c r="AN219" s="31"/>
      <c r="AO219" s="5"/>
      <c r="AP219" s="27"/>
      <c r="AQ219" s="5"/>
      <c r="AR219" s="5"/>
      <c r="AS219" s="27"/>
      <c r="AT219" s="31"/>
      <c r="AU219" s="5"/>
      <c r="AV219" s="27"/>
      <c r="AW219" s="5"/>
      <c r="AX219" s="5"/>
      <c r="AY219" s="27"/>
      <c r="AZ219" s="31"/>
      <c r="BA219" s="5"/>
      <c r="BB219" s="27"/>
      <c r="BC219" s="5"/>
      <c r="BD219" s="5"/>
      <c r="BE219" s="27"/>
      <c r="BF219" s="28"/>
    </row>
    <row r="220" spans="3:58" x14ac:dyDescent="0.25">
      <c r="C220" s="5"/>
      <c r="D220" s="27"/>
      <c r="E220" s="5"/>
      <c r="F220" s="27"/>
      <c r="G220" s="6"/>
      <c r="H220" s="5"/>
      <c r="I220" s="27"/>
      <c r="J220" s="5"/>
      <c r="K220" s="27"/>
      <c r="L220" s="31"/>
      <c r="M220" s="5"/>
      <c r="N220" s="27"/>
      <c r="O220" s="5"/>
      <c r="P220" s="27"/>
      <c r="Q220" s="31"/>
      <c r="R220" s="5"/>
      <c r="S220" s="27"/>
      <c r="T220" s="5"/>
      <c r="U220" s="27"/>
      <c r="V220" s="31"/>
      <c r="W220" s="5"/>
      <c r="X220" s="27"/>
      <c r="Y220" s="5"/>
      <c r="Z220" s="27"/>
      <c r="AA220" s="28"/>
      <c r="AB220" s="105"/>
      <c r="AC220" s="5"/>
      <c r="AD220" s="27"/>
      <c r="AE220" s="5"/>
      <c r="AF220" s="5"/>
      <c r="AG220" s="27"/>
      <c r="AH220" s="6"/>
      <c r="AI220" s="5"/>
      <c r="AJ220" s="27"/>
      <c r="AK220" s="5"/>
      <c r="AL220" s="5"/>
      <c r="AM220" s="27"/>
      <c r="AN220" s="31"/>
      <c r="AO220" s="5"/>
      <c r="AP220" s="27"/>
      <c r="AQ220" s="5"/>
      <c r="AR220" s="5"/>
      <c r="AS220" s="27"/>
      <c r="AT220" s="31"/>
      <c r="AU220" s="5"/>
      <c r="AV220" s="27"/>
      <c r="AW220" s="5"/>
      <c r="AX220" s="5"/>
      <c r="AY220" s="27"/>
      <c r="AZ220" s="31"/>
      <c r="BA220" s="5"/>
      <c r="BB220" s="27"/>
      <c r="BC220" s="5"/>
      <c r="BD220" s="5"/>
      <c r="BE220" s="27"/>
      <c r="BF220" s="28"/>
    </row>
    <row r="221" spans="3:58" x14ac:dyDescent="0.25">
      <c r="C221" s="5"/>
      <c r="D221" s="27"/>
      <c r="E221" s="5"/>
      <c r="F221" s="27"/>
      <c r="G221" s="6"/>
      <c r="H221" s="5"/>
      <c r="I221" s="27"/>
      <c r="J221" s="5"/>
      <c r="K221" s="27"/>
      <c r="L221" s="31"/>
      <c r="M221" s="5"/>
      <c r="N221" s="27"/>
      <c r="O221" s="5"/>
      <c r="P221" s="27"/>
      <c r="Q221" s="31"/>
      <c r="R221" s="5"/>
      <c r="S221" s="27"/>
      <c r="T221" s="5"/>
      <c r="U221" s="27"/>
      <c r="V221" s="31"/>
      <c r="W221" s="5"/>
      <c r="X221" s="27"/>
      <c r="Y221" s="5"/>
      <c r="Z221" s="27"/>
      <c r="AA221" s="28"/>
      <c r="AB221" s="105"/>
      <c r="AC221" s="5"/>
      <c r="AD221" s="27"/>
      <c r="AE221" s="5"/>
      <c r="AF221" s="5"/>
      <c r="AG221" s="27"/>
      <c r="AH221" s="6"/>
      <c r="AI221" s="5"/>
      <c r="AJ221" s="27"/>
      <c r="AK221" s="5"/>
      <c r="AL221" s="5"/>
      <c r="AM221" s="27"/>
      <c r="AN221" s="31"/>
      <c r="AO221" s="5"/>
      <c r="AP221" s="27"/>
      <c r="AQ221" s="5"/>
      <c r="AR221" s="5"/>
      <c r="AS221" s="27"/>
      <c r="AT221" s="31"/>
      <c r="AU221" s="5"/>
      <c r="AV221" s="27"/>
      <c r="AW221" s="5"/>
      <c r="AX221" s="5"/>
      <c r="AY221" s="27"/>
      <c r="AZ221" s="31"/>
      <c r="BA221" s="5"/>
      <c r="BB221" s="27"/>
      <c r="BC221" s="5"/>
      <c r="BD221" s="5"/>
      <c r="BE221" s="27"/>
      <c r="BF221" s="28"/>
    </row>
    <row r="222" spans="3:58" x14ac:dyDescent="0.25">
      <c r="C222" s="5"/>
      <c r="D222" s="27"/>
      <c r="E222" s="5"/>
      <c r="F222" s="27"/>
      <c r="G222" s="6"/>
      <c r="H222" s="5"/>
      <c r="I222" s="27"/>
      <c r="J222" s="5"/>
      <c r="K222" s="27"/>
      <c r="L222" s="31"/>
      <c r="M222" s="5"/>
      <c r="N222" s="27"/>
      <c r="O222" s="5"/>
      <c r="P222" s="27"/>
      <c r="Q222" s="31"/>
      <c r="R222" s="5"/>
      <c r="S222" s="27"/>
      <c r="T222" s="5"/>
      <c r="U222" s="27"/>
      <c r="V222" s="31"/>
      <c r="W222" s="5"/>
      <c r="X222" s="27"/>
      <c r="Y222" s="5"/>
      <c r="Z222" s="27"/>
      <c r="AA222" s="28"/>
      <c r="AB222" s="105"/>
      <c r="AC222" s="5"/>
      <c r="AD222" s="27"/>
      <c r="AE222" s="5"/>
      <c r="AF222" s="5"/>
      <c r="AG222" s="27"/>
      <c r="AH222" s="6"/>
      <c r="AI222" s="5"/>
      <c r="AJ222" s="27"/>
      <c r="AK222" s="5"/>
      <c r="AL222" s="5"/>
      <c r="AM222" s="27"/>
      <c r="AN222" s="31"/>
      <c r="AO222" s="5"/>
      <c r="AP222" s="27"/>
      <c r="AQ222" s="5"/>
      <c r="AR222" s="5"/>
      <c r="AS222" s="27"/>
      <c r="AT222" s="31"/>
      <c r="AU222" s="5"/>
      <c r="AV222" s="27"/>
      <c r="AW222" s="5"/>
      <c r="AX222" s="5"/>
      <c r="AY222" s="27"/>
      <c r="AZ222" s="31"/>
      <c r="BA222" s="5"/>
      <c r="BB222" s="27"/>
      <c r="BC222" s="5"/>
      <c r="BD222" s="5"/>
      <c r="BE222" s="27"/>
      <c r="BF222" s="28"/>
    </row>
    <row r="223" spans="3:58" x14ac:dyDescent="0.25">
      <c r="C223" s="5"/>
      <c r="D223" s="27"/>
      <c r="E223" s="5"/>
      <c r="F223" s="27"/>
      <c r="G223" s="6"/>
      <c r="H223" s="5"/>
      <c r="I223" s="27"/>
      <c r="J223" s="5"/>
      <c r="K223" s="27"/>
      <c r="L223" s="31"/>
      <c r="M223" s="5"/>
      <c r="N223" s="27"/>
      <c r="O223" s="5"/>
      <c r="P223" s="27"/>
      <c r="Q223" s="31"/>
      <c r="R223" s="5"/>
      <c r="S223" s="27"/>
      <c r="T223" s="5"/>
      <c r="U223" s="27"/>
      <c r="V223" s="31"/>
      <c r="W223" s="5"/>
      <c r="X223" s="27"/>
      <c r="Y223" s="5"/>
      <c r="Z223" s="27"/>
      <c r="AA223" s="28"/>
      <c r="AB223" s="105"/>
      <c r="AC223" s="5"/>
      <c r="AD223" s="27"/>
      <c r="AE223" s="5"/>
      <c r="AF223" s="5"/>
      <c r="AG223" s="27"/>
      <c r="AH223" s="6"/>
      <c r="AI223" s="5"/>
      <c r="AJ223" s="27"/>
      <c r="AK223" s="5"/>
      <c r="AL223" s="5"/>
      <c r="AM223" s="27"/>
      <c r="AN223" s="31"/>
      <c r="AO223" s="5"/>
      <c r="AP223" s="27"/>
      <c r="AQ223" s="5"/>
      <c r="AR223" s="5"/>
      <c r="AS223" s="27"/>
      <c r="AT223" s="31"/>
      <c r="AU223" s="5"/>
      <c r="AV223" s="27"/>
      <c r="AW223" s="5"/>
      <c r="AX223" s="5"/>
      <c r="AY223" s="27"/>
      <c r="AZ223" s="31"/>
      <c r="BA223" s="5"/>
      <c r="BB223" s="27"/>
      <c r="BC223" s="5"/>
      <c r="BD223" s="5"/>
      <c r="BE223" s="27"/>
      <c r="BF223" s="28"/>
    </row>
    <row r="224" spans="3:58" x14ac:dyDescent="0.25">
      <c r="C224" s="5"/>
      <c r="D224" s="27"/>
      <c r="E224" s="5"/>
      <c r="F224" s="27"/>
      <c r="G224" s="6"/>
      <c r="H224" s="5"/>
      <c r="I224" s="27"/>
      <c r="J224" s="5"/>
      <c r="K224" s="27"/>
      <c r="L224" s="31"/>
      <c r="M224" s="5"/>
      <c r="N224" s="27"/>
      <c r="O224" s="5"/>
      <c r="P224" s="27"/>
      <c r="Q224" s="31"/>
      <c r="R224" s="5"/>
      <c r="S224" s="27"/>
      <c r="T224" s="5"/>
      <c r="U224" s="27"/>
      <c r="V224" s="31"/>
      <c r="W224" s="5"/>
      <c r="X224" s="27"/>
      <c r="Y224" s="5"/>
      <c r="Z224" s="27"/>
      <c r="AA224" s="28"/>
      <c r="AB224" s="105"/>
      <c r="AC224" s="5"/>
      <c r="AD224" s="27"/>
      <c r="AE224" s="5"/>
      <c r="AF224" s="5"/>
      <c r="AG224" s="27"/>
      <c r="AH224" s="6"/>
      <c r="AI224" s="5"/>
      <c r="AJ224" s="27"/>
      <c r="AK224" s="5"/>
      <c r="AL224" s="5"/>
      <c r="AM224" s="27"/>
      <c r="AN224" s="31"/>
      <c r="AO224" s="5"/>
      <c r="AP224" s="27"/>
      <c r="AQ224" s="5"/>
      <c r="AR224" s="5"/>
      <c r="AS224" s="27"/>
      <c r="AT224" s="31"/>
      <c r="AU224" s="5"/>
      <c r="AV224" s="27"/>
      <c r="AW224" s="5"/>
      <c r="AX224" s="5"/>
      <c r="AY224" s="27"/>
      <c r="AZ224" s="31"/>
      <c r="BA224" s="5"/>
      <c r="BB224" s="27"/>
      <c r="BC224" s="5"/>
      <c r="BD224" s="5"/>
      <c r="BE224" s="27"/>
      <c r="BF224" s="28"/>
    </row>
    <row r="225" spans="3:58" x14ac:dyDescent="0.25">
      <c r="C225" s="5"/>
      <c r="D225" s="27"/>
      <c r="E225" s="5"/>
      <c r="F225" s="27"/>
      <c r="G225" s="6"/>
      <c r="H225" s="5"/>
      <c r="I225" s="27"/>
      <c r="J225" s="5"/>
      <c r="K225" s="27"/>
      <c r="L225" s="31"/>
      <c r="M225" s="5"/>
      <c r="N225" s="27"/>
      <c r="O225" s="5"/>
      <c r="P225" s="27"/>
      <c r="Q225" s="31"/>
      <c r="R225" s="5"/>
      <c r="S225" s="27"/>
      <c r="T225" s="5"/>
      <c r="U225" s="27"/>
      <c r="V225" s="31"/>
      <c r="W225" s="5"/>
      <c r="X225" s="27"/>
      <c r="Y225" s="5"/>
      <c r="Z225" s="27"/>
      <c r="AA225" s="28"/>
      <c r="AB225" s="105"/>
      <c r="AC225" s="5"/>
      <c r="AD225" s="27"/>
      <c r="AE225" s="5"/>
      <c r="AF225" s="5"/>
      <c r="AG225" s="27"/>
      <c r="AH225" s="6"/>
      <c r="AI225" s="5"/>
      <c r="AJ225" s="27"/>
      <c r="AK225" s="5"/>
      <c r="AL225" s="5"/>
      <c r="AM225" s="27"/>
      <c r="AN225" s="31"/>
      <c r="AO225" s="5"/>
      <c r="AP225" s="27"/>
      <c r="AQ225" s="5"/>
      <c r="AR225" s="5"/>
      <c r="AS225" s="27"/>
      <c r="AT225" s="31"/>
      <c r="AU225" s="5"/>
      <c r="AV225" s="27"/>
      <c r="AW225" s="5"/>
      <c r="AX225" s="5"/>
      <c r="AY225" s="27"/>
      <c r="AZ225" s="31"/>
      <c r="BA225" s="5"/>
      <c r="BB225" s="27"/>
      <c r="BC225" s="5"/>
      <c r="BD225" s="5"/>
      <c r="BE225" s="27"/>
      <c r="BF225" s="28"/>
    </row>
    <row r="226" spans="3:58" x14ac:dyDescent="0.25">
      <c r="C226" s="5"/>
      <c r="D226" s="27"/>
      <c r="E226" s="5"/>
      <c r="F226" s="27"/>
      <c r="G226" s="6"/>
      <c r="H226" s="5"/>
      <c r="I226" s="27"/>
      <c r="J226" s="5"/>
      <c r="K226" s="27"/>
      <c r="L226" s="31"/>
      <c r="M226" s="5"/>
      <c r="N226" s="27"/>
      <c r="O226" s="5"/>
      <c r="P226" s="27"/>
      <c r="Q226" s="31"/>
      <c r="R226" s="5"/>
      <c r="S226" s="27"/>
      <c r="T226" s="5"/>
      <c r="U226" s="27"/>
      <c r="V226" s="31"/>
      <c r="W226" s="5"/>
      <c r="X226" s="27"/>
      <c r="Y226" s="5"/>
      <c r="Z226" s="27"/>
      <c r="AA226" s="28"/>
      <c r="AB226" s="105"/>
      <c r="AC226" s="5"/>
      <c r="AD226" s="27"/>
      <c r="AE226" s="5"/>
      <c r="AF226" s="5"/>
      <c r="AG226" s="27"/>
      <c r="AH226" s="6"/>
      <c r="AI226" s="5"/>
      <c r="AJ226" s="27"/>
      <c r="AK226" s="5"/>
      <c r="AL226" s="5"/>
      <c r="AM226" s="27"/>
      <c r="AN226" s="31"/>
      <c r="AO226" s="5"/>
      <c r="AP226" s="27"/>
      <c r="AQ226" s="5"/>
      <c r="AR226" s="5"/>
      <c r="AS226" s="27"/>
      <c r="AT226" s="31"/>
      <c r="AU226" s="5"/>
      <c r="AV226" s="27"/>
      <c r="AW226" s="5"/>
      <c r="AX226" s="5"/>
      <c r="AY226" s="27"/>
      <c r="AZ226" s="31"/>
      <c r="BA226" s="5"/>
      <c r="BB226" s="27"/>
      <c r="BC226" s="5"/>
      <c r="BD226" s="5"/>
      <c r="BE226" s="27"/>
      <c r="BF226" s="28"/>
    </row>
    <row r="227" spans="3:58" x14ac:dyDescent="0.25">
      <c r="C227" s="5"/>
      <c r="D227" s="27"/>
      <c r="E227" s="5"/>
      <c r="F227" s="27"/>
      <c r="G227" s="6"/>
      <c r="H227" s="5"/>
      <c r="I227" s="27"/>
      <c r="J227" s="5"/>
      <c r="K227" s="27"/>
      <c r="L227" s="31"/>
      <c r="M227" s="5"/>
      <c r="N227" s="27"/>
      <c r="O227" s="5"/>
      <c r="P227" s="27"/>
      <c r="Q227" s="31"/>
      <c r="R227" s="5"/>
      <c r="S227" s="27"/>
      <c r="T227" s="5"/>
      <c r="U227" s="27"/>
      <c r="V227" s="31"/>
      <c r="W227" s="5"/>
      <c r="X227" s="27"/>
      <c r="Y227" s="5"/>
      <c r="Z227" s="27"/>
      <c r="AA227" s="28"/>
      <c r="AB227" s="105"/>
      <c r="AC227" s="5"/>
      <c r="AD227" s="27"/>
      <c r="AE227" s="5"/>
      <c r="AF227" s="5"/>
      <c r="AG227" s="27"/>
      <c r="AH227" s="6"/>
      <c r="AI227" s="5"/>
      <c r="AJ227" s="27"/>
      <c r="AK227" s="5"/>
      <c r="AL227" s="5"/>
      <c r="AM227" s="27"/>
      <c r="AN227" s="31"/>
      <c r="AO227" s="5"/>
      <c r="AP227" s="27"/>
      <c r="AQ227" s="5"/>
      <c r="AR227" s="5"/>
      <c r="AS227" s="27"/>
      <c r="AT227" s="31"/>
      <c r="AU227" s="5"/>
      <c r="AV227" s="27"/>
      <c r="AW227" s="5"/>
      <c r="AX227" s="5"/>
      <c r="AY227" s="27"/>
      <c r="AZ227" s="31"/>
      <c r="BA227" s="5"/>
      <c r="BB227" s="27"/>
      <c r="BC227" s="5"/>
      <c r="BD227" s="5"/>
      <c r="BE227" s="27"/>
      <c r="BF227" s="28"/>
    </row>
    <row r="228" spans="3:58" x14ac:dyDescent="0.25">
      <c r="C228" s="5"/>
      <c r="D228" s="27"/>
      <c r="E228" s="5"/>
      <c r="F228" s="27"/>
      <c r="G228" s="6"/>
      <c r="H228" s="5"/>
      <c r="I228" s="27"/>
      <c r="J228" s="5"/>
      <c r="K228" s="27"/>
      <c r="L228" s="31"/>
      <c r="M228" s="5"/>
      <c r="N228" s="27"/>
      <c r="O228" s="5"/>
      <c r="P228" s="27"/>
      <c r="Q228" s="31"/>
      <c r="R228" s="5"/>
      <c r="S228" s="27"/>
      <c r="T228" s="5"/>
      <c r="U228" s="27"/>
      <c r="V228" s="31"/>
      <c r="W228" s="5"/>
      <c r="X228" s="27"/>
      <c r="Y228" s="5"/>
      <c r="Z228" s="27"/>
      <c r="AA228" s="28"/>
      <c r="AB228" s="105"/>
      <c r="AC228" s="5"/>
      <c r="AD228" s="27"/>
      <c r="AE228" s="5"/>
      <c r="AF228" s="5"/>
      <c r="AG228" s="27"/>
      <c r="AH228" s="6"/>
      <c r="AI228" s="5"/>
      <c r="AJ228" s="27"/>
      <c r="AK228" s="5"/>
      <c r="AL228" s="5"/>
      <c r="AM228" s="27"/>
      <c r="AN228" s="31"/>
      <c r="AO228" s="5"/>
      <c r="AP228" s="27"/>
      <c r="AQ228" s="5"/>
      <c r="AR228" s="5"/>
      <c r="AS228" s="27"/>
      <c r="AT228" s="31"/>
      <c r="AU228" s="5"/>
      <c r="AV228" s="27"/>
      <c r="AW228" s="5"/>
      <c r="AX228" s="5"/>
      <c r="AY228" s="27"/>
      <c r="AZ228" s="31"/>
      <c r="BA228" s="5"/>
      <c r="BB228" s="27"/>
      <c r="BC228" s="5"/>
      <c r="BD228" s="5"/>
      <c r="BE228" s="27"/>
      <c r="BF228" s="28"/>
    </row>
    <row r="229" spans="3:58" x14ac:dyDescent="0.25">
      <c r="C229" s="5"/>
      <c r="D229" s="27"/>
      <c r="E229" s="5"/>
      <c r="F229" s="27"/>
      <c r="G229" s="6"/>
      <c r="H229" s="5"/>
      <c r="I229" s="27"/>
      <c r="J229" s="5"/>
      <c r="K229" s="27"/>
      <c r="L229" s="31"/>
      <c r="M229" s="5"/>
      <c r="N229" s="27"/>
      <c r="O229" s="5"/>
      <c r="P229" s="27"/>
      <c r="Q229" s="31"/>
      <c r="R229" s="5"/>
      <c r="S229" s="27"/>
      <c r="T229" s="5"/>
      <c r="U229" s="27"/>
      <c r="V229" s="31"/>
      <c r="W229" s="5"/>
      <c r="X229" s="27"/>
      <c r="Y229" s="5"/>
      <c r="Z229" s="27"/>
      <c r="AA229" s="28"/>
      <c r="AB229" s="105"/>
      <c r="AC229" s="5"/>
      <c r="AD229" s="27"/>
      <c r="AE229" s="5"/>
      <c r="AF229" s="5"/>
      <c r="AG229" s="27"/>
      <c r="AH229" s="6"/>
      <c r="AI229" s="5"/>
      <c r="AJ229" s="27"/>
      <c r="AK229" s="5"/>
      <c r="AL229" s="5"/>
      <c r="AM229" s="27"/>
      <c r="AN229" s="31"/>
      <c r="AO229" s="5"/>
      <c r="AP229" s="27"/>
      <c r="AQ229" s="5"/>
      <c r="AR229" s="5"/>
      <c r="AS229" s="27"/>
      <c r="AT229" s="31"/>
      <c r="AU229" s="5"/>
      <c r="AV229" s="27"/>
      <c r="AW229" s="5"/>
      <c r="AX229" s="5"/>
      <c r="AY229" s="27"/>
      <c r="AZ229" s="31"/>
      <c r="BA229" s="5"/>
      <c r="BB229" s="27"/>
      <c r="BC229" s="5"/>
      <c r="BD229" s="5"/>
      <c r="BE229" s="27"/>
      <c r="BF229" s="28"/>
    </row>
    <row r="230" spans="3:58" x14ac:dyDescent="0.25">
      <c r="C230" s="5"/>
      <c r="D230" s="27"/>
      <c r="E230" s="5"/>
      <c r="F230" s="27"/>
      <c r="G230" s="6"/>
      <c r="H230" s="5"/>
      <c r="I230" s="27"/>
      <c r="J230" s="5"/>
      <c r="K230" s="27"/>
      <c r="L230" s="31"/>
      <c r="M230" s="5"/>
      <c r="N230" s="27"/>
      <c r="O230" s="5"/>
      <c r="P230" s="27"/>
      <c r="Q230" s="31"/>
      <c r="R230" s="5"/>
      <c r="S230" s="27"/>
      <c r="T230" s="5"/>
      <c r="U230" s="27"/>
      <c r="V230" s="31"/>
      <c r="W230" s="5"/>
      <c r="X230" s="27"/>
      <c r="Y230" s="5"/>
      <c r="Z230" s="27"/>
      <c r="AA230" s="28"/>
      <c r="AB230" s="105"/>
      <c r="AC230" s="5"/>
      <c r="AD230" s="27"/>
      <c r="AE230" s="5"/>
      <c r="AF230" s="5"/>
      <c r="AG230" s="27"/>
      <c r="AH230" s="6"/>
      <c r="AI230" s="5"/>
      <c r="AJ230" s="27"/>
      <c r="AK230" s="5"/>
      <c r="AL230" s="5"/>
      <c r="AM230" s="27"/>
      <c r="AN230" s="31"/>
      <c r="AO230" s="5"/>
      <c r="AP230" s="27"/>
      <c r="AQ230" s="5"/>
      <c r="AR230" s="5"/>
      <c r="AS230" s="27"/>
      <c r="AT230" s="31"/>
      <c r="AU230" s="5"/>
      <c r="AV230" s="27"/>
      <c r="AW230" s="5"/>
      <c r="AX230" s="5"/>
      <c r="AY230" s="27"/>
      <c r="AZ230" s="31"/>
      <c r="BA230" s="5"/>
      <c r="BB230" s="27"/>
      <c r="BC230" s="5"/>
      <c r="BD230" s="5"/>
      <c r="BE230" s="27"/>
      <c r="BF230" s="28"/>
    </row>
    <row r="231" spans="3:58" x14ac:dyDescent="0.25">
      <c r="C231" s="5"/>
      <c r="D231" s="27"/>
      <c r="E231" s="5"/>
      <c r="F231" s="27"/>
      <c r="G231" s="6"/>
      <c r="H231" s="5"/>
      <c r="I231" s="27"/>
      <c r="J231" s="5"/>
      <c r="K231" s="27"/>
      <c r="L231" s="31"/>
      <c r="M231" s="5"/>
      <c r="N231" s="27"/>
      <c r="O231" s="5"/>
      <c r="P231" s="27"/>
      <c r="Q231" s="31"/>
      <c r="R231" s="5"/>
      <c r="S231" s="27"/>
      <c r="T231" s="5"/>
      <c r="U231" s="27"/>
      <c r="V231" s="31"/>
      <c r="W231" s="5"/>
      <c r="X231" s="27"/>
      <c r="Y231" s="5"/>
      <c r="Z231" s="27"/>
      <c r="AA231" s="28"/>
      <c r="AB231" s="105"/>
      <c r="AC231" s="5"/>
      <c r="AD231" s="27"/>
      <c r="AE231" s="5"/>
      <c r="AF231" s="5"/>
      <c r="AG231" s="27"/>
      <c r="AH231" s="6"/>
      <c r="AI231" s="5"/>
      <c r="AJ231" s="27"/>
      <c r="AK231" s="5"/>
      <c r="AL231" s="5"/>
      <c r="AM231" s="27"/>
      <c r="AN231" s="31"/>
      <c r="AO231" s="5"/>
      <c r="AP231" s="27"/>
      <c r="AQ231" s="5"/>
      <c r="AR231" s="5"/>
      <c r="AS231" s="27"/>
      <c r="AT231" s="31"/>
      <c r="AU231" s="5"/>
      <c r="AV231" s="27"/>
      <c r="AW231" s="5"/>
      <c r="AX231" s="5"/>
      <c r="AY231" s="27"/>
      <c r="AZ231" s="31"/>
      <c r="BA231" s="5"/>
      <c r="BB231" s="27"/>
      <c r="BC231" s="5"/>
      <c r="BD231" s="5"/>
      <c r="BE231" s="27"/>
      <c r="BF231" s="28"/>
    </row>
    <row r="232" spans="3:58" x14ac:dyDescent="0.25">
      <c r="C232" s="5"/>
      <c r="D232" s="27"/>
      <c r="E232" s="5"/>
      <c r="F232" s="27"/>
      <c r="G232" s="6"/>
      <c r="H232" s="5"/>
      <c r="I232" s="27"/>
      <c r="J232" s="5"/>
      <c r="K232" s="5"/>
      <c r="L232" s="31"/>
      <c r="M232" s="5"/>
      <c r="N232" s="27"/>
      <c r="O232" s="5"/>
      <c r="P232" s="5"/>
      <c r="Q232" s="31"/>
      <c r="R232" s="5"/>
      <c r="S232" s="27"/>
      <c r="T232" s="5"/>
      <c r="U232" s="5"/>
      <c r="V232" s="31"/>
      <c r="W232" s="5"/>
      <c r="X232" s="27"/>
      <c r="Y232" s="5"/>
      <c r="Z232" s="5"/>
      <c r="AA232" s="28"/>
      <c r="AB232" s="105"/>
      <c r="AC232" s="5"/>
      <c r="AD232" s="27"/>
      <c r="AE232" s="5"/>
      <c r="AF232" s="5"/>
      <c r="AG232" s="27"/>
      <c r="AH232" s="6"/>
      <c r="AI232" s="5"/>
      <c r="AJ232" s="27"/>
      <c r="AK232" s="5"/>
      <c r="AL232" s="5"/>
      <c r="AM232" s="5"/>
      <c r="AN232" s="31"/>
      <c r="AO232" s="5"/>
      <c r="AP232" s="27"/>
      <c r="AQ232" s="5"/>
      <c r="AR232" s="5"/>
      <c r="AS232" s="27"/>
      <c r="AT232" s="31"/>
      <c r="AU232" s="5"/>
      <c r="AV232" s="27"/>
      <c r="AW232" s="5"/>
      <c r="AX232" s="5"/>
      <c r="AY232" s="5"/>
      <c r="AZ232" s="31"/>
      <c r="BA232" s="5"/>
      <c r="BB232" s="27"/>
      <c r="BC232" s="5"/>
      <c r="BD232" s="5"/>
      <c r="BE232" s="5"/>
      <c r="BF232" s="28"/>
    </row>
    <row r="233" spans="3:58" x14ac:dyDescent="0.25">
      <c r="C233" s="5"/>
      <c r="D233" s="27"/>
      <c r="E233" s="5"/>
      <c r="F233" s="27"/>
      <c r="G233" s="6"/>
      <c r="H233" s="5"/>
      <c r="I233" s="27"/>
      <c r="J233" s="5"/>
      <c r="K233" s="5"/>
      <c r="L233" s="31"/>
      <c r="M233" s="5"/>
      <c r="N233" s="27"/>
      <c r="O233" s="5"/>
      <c r="P233" s="5"/>
      <c r="Q233" s="31"/>
      <c r="R233" s="5"/>
      <c r="S233" s="27"/>
      <c r="T233" s="5"/>
      <c r="U233" s="5"/>
      <c r="V233" s="31"/>
      <c r="W233" s="5"/>
      <c r="X233" s="27"/>
      <c r="Y233" s="5"/>
      <c r="Z233" s="5"/>
      <c r="AA233" s="28"/>
      <c r="AB233" s="105"/>
      <c r="AC233" s="5"/>
      <c r="AD233" s="27"/>
      <c r="AE233" s="5"/>
      <c r="AF233" s="5"/>
      <c r="AG233" s="27"/>
      <c r="AH233" s="6"/>
      <c r="AI233" s="5"/>
      <c r="AJ233" s="27"/>
      <c r="AK233" s="5"/>
      <c r="AL233" s="5"/>
      <c r="AM233" s="5"/>
      <c r="AN233" s="31"/>
      <c r="AO233" s="5"/>
      <c r="AP233" s="27"/>
      <c r="AQ233" s="5"/>
      <c r="AR233" s="5"/>
      <c r="AS233" s="27"/>
      <c r="AT233" s="31"/>
      <c r="AU233" s="5"/>
      <c r="AV233" s="27"/>
      <c r="AW233" s="5"/>
      <c r="AX233" s="5"/>
      <c r="AY233" s="5"/>
      <c r="AZ233" s="31"/>
      <c r="BA233" s="5"/>
      <c r="BB233" s="27"/>
      <c r="BC233" s="5"/>
      <c r="BD233" s="5"/>
      <c r="BE233" s="5"/>
      <c r="BF233" s="28"/>
    </row>
    <row r="234" spans="3:58" x14ac:dyDescent="0.25">
      <c r="C234" s="5"/>
      <c r="D234" s="27"/>
      <c r="E234" s="5"/>
      <c r="F234" s="27"/>
      <c r="G234" s="6"/>
      <c r="H234" s="5"/>
      <c r="I234" s="27"/>
      <c r="J234" s="5"/>
      <c r="K234" s="5"/>
      <c r="L234" s="31"/>
      <c r="M234" s="5"/>
      <c r="N234" s="27"/>
      <c r="O234" s="5"/>
      <c r="P234" s="5"/>
      <c r="Q234" s="31"/>
      <c r="R234" s="5"/>
      <c r="S234" s="27"/>
      <c r="T234" s="5"/>
      <c r="U234" s="5"/>
      <c r="V234" s="31"/>
      <c r="W234" s="5"/>
      <c r="X234" s="27"/>
      <c r="Y234" s="5"/>
      <c r="Z234" s="5"/>
      <c r="AA234" s="28"/>
      <c r="AB234" s="105"/>
      <c r="AC234" s="5"/>
      <c r="AD234" s="27"/>
      <c r="AE234" s="5"/>
      <c r="AF234" s="5"/>
      <c r="AG234" s="27"/>
      <c r="AH234" s="6"/>
      <c r="AI234" s="5"/>
      <c r="AJ234" s="27"/>
      <c r="AK234" s="5"/>
      <c r="AL234" s="5"/>
      <c r="AM234" s="5"/>
      <c r="AN234" s="31"/>
      <c r="AO234" s="5"/>
      <c r="AP234" s="27"/>
      <c r="AQ234" s="5"/>
      <c r="AR234" s="5"/>
      <c r="AS234" s="27"/>
      <c r="AT234" s="31"/>
      <c r="AU234" s="5"/>
      <c r="AV234" s="27"/>
      <c r="AW234" s="5"/>
      <c r="AX234" s="5"/>
      <c r="AY234" s="5"/>
      <c r="AZ234" s="31"/>
      <c r="BA234" s="5"/>
      <c r="BB234" s="27"/>
      <c r="BC234" s="5"/>
      <c r="BD234" s="5"/>
      <c r="BE234" s="5"/>
      <c r="BF234" s="28"/>
    </row>
    <row r="235" spans="3:58" x14ac:dyDescent="0.25">
      <c r="C235" s="5"/>
      <c r="D235" s="27"/>
      <c r="E235" s="5"/>
      <c r="F235" s="27"/>
      <c r="G235" s="6"/>
      <c r="H235" s="5"/>
      <c r="I235" s="27"/>
      <c r="J235" s="5"/>
      <c r="K235" s="5"/>
      <c r="L235" s="31"/>
      <c r="M235" s="5"/>
      <c r="N235" s="27"/>
      <c r="O235" s="5"/>
      <c r="P235" s="5"/>
      <c r="Q235" s="31"/>
      <c r="R235" s="5"/>
      <c r="S235" s="27"/>
      <c r="T235" s="5"/>
      <c r="U235" s="5"/>
      <c r="V235" s="31"/>
      <c r="W235" s="5"/>
      <c r="X235" s="27"/>
      <c r="Y235" s="5"/>
      <c r="Z235" s="5"/>
      <c r="AA235" s="28"/>
      <c r="AB235" s="105"/>
      <c r="AC235" s="5"/>
      <c r="AD235" s="27"/>
      <c r="AE235" s="5"/>
      <c r="AF235" s="5"/>
      <c r="AG235" s="27"/>
      <c r="AH235" s="6"/>
      <c r="AI235" s="5"/>
      <c r="AJ235" s="27"/>
      <c r="AK235" s="5"/>
      <c r="AL235" s="5"/>
      <c r="AM235" s="5"/>
      <c r="AN235" s="31"/>
      <c r="AO235" s="5"/>
      <c r="AP235" s="27"/>
      <c r="AQ235" s="5"/>
      <c r="AR235" s="5"/>
      <c r="AS235" s="27"/>
      <c r="AT235" s="31"/>
      <c r="AU235" s="5"/>
      <c r="AV235" s="27"/>
      <c r="AW235" s="5"/>
      <c r="AX235" s="5"/>
      <c r="AY235" s="5"/>
      <c r="AZ235" s="31"/>
      <c r="BA235" s="5"/>
      <c r="BB235" s="27"/>
      <c r="BC235" s="5"/>
      <c r="BD235" s="5"/>
      <c r="BE235" s="5"/>
      <c r="BF235" s="28"/>
    </row>
    <row r="236" spans="3:58" x14ac:dyDescent="0.25">
      <c r="C236" s="5"/>
      <c r="D236" s="27"/>
      <c r="E236" s="5"/>
      <c r="F236" s="27"/>
      <c r="G236" s="6"/>
      <c r="H236" s="5"/>
      <c r="I236" s="27"/>
      <c r="J236" s="5"/>
      <c r="K236" s="5"/>
      <c r="L236" s="31"/>
      <c r="M236" s="5"/>
      <c r="N236" s="27"/>
      <c r="O236" s="5"/>
      <c r="P236" s="5"/>
      <c r="Q236" s="31"/>
      <c r="R236" s="5"/>
      <c r="S236" s="27"/>
      <c r="T236" s="5"/>
      <c r="U236" s="5"/>
      <c r="V236" s="31"/>
      <c r="W236" s="5"/>
      <c r="X236" s="27"/>
      <c r="Y236" s="5"/>
      <c r="Z236" s="5"/>
      <c r="AA236" s="28"/>
      <c r="AB236" s="105"/>
      <c r="AC236" s="5"/>
      <c r="AD236" s="27"/>
      <c r="AE236" s="5"/>
      <c r="AF236" s="5"/>
      <c r="AG236" s="27"/>
      <c r="AH236" s="6"/>
      <c r="AI236" s="5"/>
      <c r="AJ236" s="27"/>
      <c r="AK236" s="5"/>
      <c r="AL236" s="5"/>
      <c r="AM236" s="5"/>
      <c r="AN236" s="31"/>
      <c r="AO236" s="5"/>
      <c r="AP236" s="27"/>
      <c r="AQ236" s="5"/>
      <c r="AR236" s="5"/>
      <c r="AS236" s="27"/>
      <c r="AT236" s="31"/>
      <c r="AU236" s="5"/>
      <c r="AV236" s="27"/>
      <c r="AW236" s="5"/>
      <c r="AX236" s="5"/>
      <c r="AY236" s="5"/>
      <c r="AZ236" s="31"/>
      <c r="BA236" s="5"/>
      <c r="BB236" s="27"/>
      <c r="BC236" s="5"/>
      <c r="BD236" s="5"/>
      <c r="BE236" s="5"/>
      <c r="BF236" s="28"/>
    </row>
    <row r="237" spans="3:58" x14ac:dyDescent="0.25">
      <c r="C237" s="5"/>
      <c r="D237" s="27"/>
      <c r="E237" s="5"/>
      <c r="F237" s="27"/>
      <c r="G237" s="6"/>
      <c r="H237" s="5"/>
      <c r="I237" s="27"/>
      <c r="J237" s="5"/>
      <c r="K237" s="5"/>
      <c r="L237" s="31"/>
      <c r="M237" s="5"/>
      <c r="N237" s="27"/>
      <c r="O237" s="5"/>
      <c r="P237" s="5"/>
      <c r="Q237" s="31"/>
      <c r="R237" s="5"/>
      <c r="S237" s="27"/>
      <c r="T237" s="5"/>
      <c r="U237" s="5"/>
      <c r="V237" s="31"/>
      <c r="W237" s="5"/>
      <c r="X237" s="27"/>
      <c r="Y237" s="5"/>
      <c r="Z237" s="5"/>
      <c r="AA237" s="28"/>
      <c r="AB237" s="105"/>
      <c r="AC237" s="5"/>
      <c r="AD237" s="27"/>
      <c r="AE237" s="5"/>
      <c r="AF237" s="5"/>
      <c r="AG237" s="27"/>
      <c r="AH237" s="6"/>
      <c r="AI237" s="5"/>
      <c r="AJ237" s="27"/>
      <c r="AK237" s="5"/>
      <c r="AL237" s="5"/>
      <c r="AM237" s="5"/>
      <c r="AN237" s="31"/>
      <c r="AO237" s="5"/>
      <c r="AP237" s="27"/>
      <c r="AQ237" s="5"/>
      <c r="AR237" s="5"/>
      <c r="AS237" s="27"/>
      <c r="AT237" s="31"/>
      <c r="AU237" s="5"/>
      <c r="AV237" s="27"/>
      <c r="AW237" s="5"/>
      <c r="AX237" s="5"/>
      <c r="AY237" s="5"/>
      <c r="AZ237" s="31"/>
      <c r="BA237" s="5"/>
      <c r="BB237" s="27"/>
      <c r="BC237" s="5"/>
      <c r="BD237" s="5"/>
      <c r="BE237" s="5"/>
      <c r="BF237" s="28"/>
    </row>
    <row r="238" spans="3:58" x14ac:dyDescent="0.25">
      <c r="C238" s="5"/>
      <c r="D238" s="27"/>
      <c r="E238" s="5"/>
      <c r="F238" s="27"/>
      <c r="G238" s="6"/>
      <c r="H238" s="5"/>
      <c r="I238" s="27"/>
      <c r="J238" s="5"/>
      <c r="K238" s="5"/>
      <c r="L238" s="31"/>
      <c r="M238" s="5"/>
      <c r="N238" s="27"/>
      <c r="O238" s="5"/>
      <c r="P238" s="5"/>
      <c r="Q238" s="31"/>
      <c r="R238" s="5"/>
      <c r="S238" s="27"/>
      <c r="T238" s="5"/>
      <c r="U238" s="5"/>
      <c r="V238" s="31"/>
      <c r="W238" s="5"/>
      <c r="X238" s="27"/>
      <c r="Y238" s="5"/>
      <c r="Z238" s="5"/>
      <c r="AA238" s="28"/>
      <c r="AB238" s="105"/>
      <c r="AC238" s="5"/>
      <c r="AD238" s="27"/>
      <c r="AE238" s="5"/>
      <c r="AF238" s="5"/>
      <c r="AG238" s="27"/>
      <c r="AH238" s="6"/>
      <c r="AI238" s="5"/>
      <c r="AJ238" s="27"/>
      <c r="AK238" s="5"/>
      <c r="AL238" s="5"/>
      <c r="AM238" s="5"/>
      <c r="AN238" s="31"/>
      <c r="AO238" s="5"/>
      <c r="AP238" s="27"/>
      <c r="AQ238" s="5"/>
      <c r="AR238" s="5"/>
      <c r="AS238" s="27"/>
      <c r="AT238" s="31"/>
      <c r="AU238" s="5"/>
      <c r="AV238" s="27"/>
      <c r="AW238" s="5"/>
      <c r="AX238" s="5"/>
      <c r="AY238" s="5"/>
      <c r="AZ238" s="31"/>
      <c r="BA238" s="5"/>
      <c r="BB238" s="27"/>
      <c r="BC238" s="5"/>
      <c r="BD238" s="5"/>
      <c r="BE238" s="5"/>
      <c r="BF238" s="28"/>
    </row>
    <row r="239" spans="3:58" x14ac:dyDescent="0.25">
      <c r="C239" s="5"/>
      <c r="D239" s="27"/>
      <c r="E239" s="5"/>
      <c r="F239" s="27"/>
      <c r="G239" s="6"/>
      <c r="H239" s="5"/>
      <c r="I239" s="27"/>
      <c r="J239" s="5"/>
      <c r="K239" s="5"/>
      <c r="L239" s="31"/>
      <c r="M239" s="5"/>
      <c r="N239" s="27"/>
      <c r="O239" s="5"/>
      <c r="P239" s="5"/>
      <c r="Q239" s="31"/>
      <c r="R239" s="5"/>
      <c r="S239" s="27"/>
      <c r="T239" s="5"/>
      <c r="U239" s="5"/>
      <c r="V239" s="31"/>
      <c r="W239" s="5"/>
      <c r="X239" s="27"/>
      <c r="Y239" s="5"/>
      <c r="Z239" s="5"/>
      <c r="AA239" s="28"/>
      <c r="AB239" s="105"/>
      <c r="AC239" s="5"/>
      <c r="AD239" s="27"/>
      <c r="AE239" s="5"/>
      <c r="AF239" s="5"/>
      <c r="AG239" s="27"/>
      <c r="AH239" s="6"/>
      <c r="AI239" s="5"/>
      <c r="AJ239" s="27"/>
      <c r="AK239" s="5"/>
      <c r="AL239" s="5"/>
      <c r="AM239" s="5"/>
      <c r="AN239" s="31"/>
      <c r="AO239" s="5"/>
      <c r="AP239" s="27"/>
      <c r="AQ239" s="5"/>
      <c r="AR239" s="5"/>
      <c r="AS239" s="27"/>
      <c r="AT239" s="31"/>
      <c r="AU239" s="5"/>
      <c r="AV239" s="27"/>
      <c r="AW239" s="5"/>
      <c r="AX239" s="5"/>
      <c r="AY239" s="5"/>
      <c r="AZ239" s="31"/>
      <c r="BA239" s="5"/>
      <c r="BB239" s="27"/>
      <c r="BC239" s="5"/>
      <c r="BD239" s="5"/>
      <c r="BE239" s="5"/>
      <c r="BF239" s="28"/>
    </row>
    <row r="240" spans="3:58" x14ac:dyDescent="0.25">
      <c r="C240" s="5"/>
      <c r="D240" s="27"/>
      <c r="E240" s="5"/>
      <c r="F240" s="27"/>
      <c r="G240" s="6"/>
      <c r="H240" s="5"/>
      <c r="I240" s="27"/>
      <c r="J240" s="5"/>
      <c r="K240" s="5"/>
      <c r="L240" s="31"/>
      <c r="M240" s="5"/>
      <c r="N240" s="27"/>
      <c r="O240" s="5"/>
      <c r="P240" s="5"/>
      <c r="Q240" s="31"/>
      <c r="R240" s="5"/>
      <c r="S240" s="27"/>
      <c r="T240" s="5"/>
      <c r="U240" s="5"/>
      <c r="V240" s="31"/>
      <c r="W240" s="5"/>
      <c r="X240" s="27"/>
      <c r="Y240" s="5"/>
      <c r="Z240" s="5"/>
      <c r="AA240" s="28"/>
      <c r="AB240" s="105"/>
      <c r="AC240" s="5"/>
      <c r="AD240" s="27"/>
      <c r="AE240" s="5"/>
      <c r="AF240" s="5"/>
      <c r="AG240" s="27"/>
      <c r="AH240" s="6"/>
      <c r="AI240" s="5"/>
      <c r="AJ240" s="27"/>
      <c r="AK240" s="5"/>
      <c r="AL240" s="5"/>
      <c r="AM240" s="5"/>
      <c r="AN240" s="31"/>
      <c r="AO240" s="5"/>
      <c r="AP240" s="27"/>
      <c r="AQ240" s="5"/>
      <c r="AR240" s="5"/>
      <c r="AS240" s="27"/>
      <c r="AT240" s="31"/>
      <c r="AU240" s="5"/>
      <c r="AV240" s="27"/>
      <c r="AW240" s="5"/>
      <c r="AX240" s="5"/>
      <c r="AY240" s="5"/>
      <c r="AZ240" s="31"/>
      <c r="BA240" s="5"/>
      <c r="BB240" s="27"/>
      <c r="BC240" s="5"/>
      <c r="BD240" s="5"/>
      <c r="BE240" s="5"/>
      <c r="BF240" s="28"/>
    </row>
    <row r="241" spans="3:58" x14ac:dyDescent="0.25">
      <c r="C241" s="5"/>
      <c r="D241" s="27"/>
      <c r="E241" s="5"/>
      <c r="F241" s="27"/>
      <c r="G241" s="6"/>
      <c r="H241" s="5"/>
      <c r="I241" s="27"/>
      <c r="J241" s="5"/>
      <c r="K241" s="5"/>
      <c r="L241" s="31"/>
      <c r="M241" s="5"/>
      <c r="N241" s="27"/>
      <c r="O241" s="5"/>
      <c r="P241" s="5"/>
      <c r="Q241" s="31"/>
      <c r="R241" s="5"/>
      <c r="S241" s="27"/>
      <c r="T241" s="5"/>
      <c r="U241" s="5"/>
      <c r="V241" s="31"/>
      <c r="W241" s="5"/>
      <c r="X241" s="27"/>
      <c r="Y241" s="5"/>
      <c r="Z241" s="5"/>
      <c r="AA241" s="28"/>
      <c r="AB241" s="105"/>
      <c r="AC241" s="5"/>
      <c r="AD241" s="27"/>
      <c r="AE241" s="5"/>
      <c r="AF241" s="5"/>
      <c r="AG241" s="27"/>
      <c r="AH241" s="6"/>
      <c r="AI241" s="5"/>
      <c r="AJ241" s="27"/>
      <c r="AK241" s="5"/>
      <c r="AL241" s="5"/>
      <c r="AM241" s="5"/>
      <c r="AN241" s="31"/>
      <c r="AO241" s="5"/>
      <c r="AP241" s="27"/>
      <c r="AQ241" s="5"/>
      <c r="AR241" s="5"/>
      <c r="AS241" s="27"/>
      <c r="AT241" s="31"/>
      <c r="AU241" s="5"/>
      <c r="AV241" s="27"/>
      <c r="AW241" s="5"/>
      <c r="AX241" s="5"/>
      <c r="AY241" s="5"/>
      <c r="AZ241" s="31"/>
      <c r="BA241" s="5"/>
      <c r="BB241" s="27"/>
      <c r="BC241" s="5"/>
      <c r="BD241" s="5"/>
      <c r="BE241" s="5"/>
      <c r="BF241" s="28"/>
    </row>
    <row r="242" spans="3:58" x14ac:dyDescent="0.25">
      <c r="C242" s="5"/>
      <c r="D242" s="27"/>
      <c r="E242" s="5"/>
      <c r="F242" s="27"/>
      <c r="G242" s="6"/>
      <c r="H242" s="5"/>
      <c r="I242" s="27"/>
      <c r="J242" s="5"/>
      <c r="K242" s="5"/>
      <c r="L242" s="31"/>
      <c r="M242" s="5"/>
      <c r="N242" s="27"/>
      <c r="O242" s="5"/>
      <c r="P242" s="5"/>
      <c r="Q242" s="31"/>
      <c r="R242" s="5"/>
      <c r="S242" s="27"/>
      <c r="T242" s="5"/>
      <c r="U242" s="5"/>
      <c r="V242" s="31"/>
      <c r="W242" s="5"/>
      <c r="X242" s="27"/>
      <c r="Y242" s="5"/>
      <c r="Z242" s="5"/>
      <c r="AA242" s="28"/>
      <c r="AB242" s="105"/>
      <c r="AC242" s="5"/>
      <c r="AD242" s="27"/>
      <c r="AE242" s="5"/>
      <c r="AF242" s="5"/>
      <c r="AG242" s="27"/>
      <c r="AH242" s="6"/>
      <c r="AI242" s="5"/>
      <c r="AJ242" s="27"/>
      <c r="AK242" s="5"/>
      <c r="AL242" s="5"/>
      <c r="AM242" s="5"/>
      <c r="AN242" s="31"/>
      <c r="AO242" s="5"/>
      <c r="AP242" s="27"/>
      <c r="AQ242" s="5"/>
      <c r="AR242" s="5"/>
      <c r="AS242" s="27"/>
      <c r="AT242" s="31"/>
      <c r="AU242" s="5"/>
      <c r="AV242" s="27"/>
      <c r="AW242" s="5"/>
      <c r="AX242" s="5"/>
      <c r="AY242" s="5"/>
      <c r="AZ242" s="31"/>
      <c r="BA242" s="5"/>
      <c r="BB242" s="27"/>
      <c r="BC242" s="5"/>
      <c r="BD242" s="5"/>
      <c r="BE242" s="5"/>
      <c r="BF242" s="28"/>
    </row>
    <row r="243" spans="3:58" x14ac:dyDescent="0.25">
      <c r="C243" s="5"/>
      <c r="D243" s="27"/>
      <c r="E243" s="5"/>
      <c r="F243" s="27"/>
      <c r="G243" s="6"/>
      <c r="H243" s="5"/>
      <c r="I243" s="27"/>
      <c r="J243" s="5"/>
      <c r="K243" s="5"/>
      <c r="L243" s="31"/>
      <c r="M243" s="5"/>
      <c r="N243" s="27"/>
      <c r="O243" s="5"/>
      <c r="P243" s="5"/>
      <c r="Q243" s="31"/>
      <c r="R243" s="5"/>
      <c r="S243" s="27"/>
      <c r="T243" s="5"/>
      <c r="U243" s="5"/>
      <c r="V243" s="31"/>
      <c r="W243" s="5"/>
      <c r="X243" s="27"/>
      <c r="Y243" s="5"/>
      <c r="Z243" s="5"/>
      <c r="AA243" s="28"/>
      <c r="AB243" s="105"/>
      <c r="AC243" s="5"/>
      <c r="AD243" s="27"/>
      <c r="AE243" s="5"/>
      <c r="AF243" s="5"/>
      <c r="AG243" s="27"/>
      <c r="AH243" s="6"/>
      <c r="AI243" s="5"/>
      <c r="AJ243" s="27"/>
      <c r="AK243" s="5"/>
      <c r="AL243" s="5"/>
      <c r="AM243" s="5"/>
      <c r="AN243" s="31"/>
      <c r="AO243" s="5"/>
      <c r="AP243" s="27"/>
      <c r="AQ243" s="5"/>
      <c r="AR243" s="5"/>
      <c r="AS243" s="27"/>
      <c r="AT243" s="31"/>
      <c r="AU243" s="5"/>
      <c r="AV243" s="27"/>
      <c r="AW243" s="5"/>
      <c r="AX243" s="5"/>
      <c r="AY243" s="5"/>
      <c r="AZ243" s="31"/>
      <c r="BA243" s="5"/>
      <c r="BB243" s="27"/>
      <c r="BC243" s="5"/>
      <c r="BD243" s="5"/>
      <c r="BE243" s="5"/>
      <c r="BF243" s="28"/>
    </row>
    <row r="244" spans="3:58" x14ac:dyDescent="0.25">
      <c r="C244" s="5"/>
      <c r="D244" s="27"/>
      <c r="E244" s="5"/>
      <c r="F244" s="27"/>
      <c r="G244" s="6"/>
      <c r="H244" s="5"/>
      <c r="I244" s="27"/>
      <c r="J244" s="5"/>
      <c r="K244" s="5"/>
      <c r="L244" s="31"/>
      <c r="M244" s="5"/>
      <c r="N244" s="27"/>
      <c r="O244" s="5"/>
      <c r="P244" s="5"/>
      <c r="Q244" s="31"/>
      <c r="R244" s="5"/>
      <c r="S244" s="27"/>
      <c r="T244" s="5"/>
      <c r="U244" s="5"/>
      <c r="V244" s="31"/>
      <c r="W244" s="5"/>
      <c r="X244" s="27"/>
      <c r="Y244" s="5"/>
      <c r="Z244" s="5"/>
      <c r="AA244" s="28"/>
      <c r="AB244" s="105"/>
      <c r="AC244" s="5"/>
      <c r="AD244" s="27"/>
      <c r="AE244" s="5"/>
      <c r="AF244" s="5"/>
      <c r="AG244" s="27"/>
      <c r="AH244" s="6"/>
      <c r="AI244" s="5"/>
      <c r="AJ244" s="27"/>
      <c r="AK244" s="5"/>
      <c r="AL244" s="5"/>
      <c r="AM244" s="5"/>
      <c r="AN244" s="31"/>
      <c r="AO244" s="5"/>
      <c r="AP244" s="27"/>
      <c r="AQ244" s="5"/>
      <c r="AR244" s="5"/>
      <c r="AS244" s="27"/>
      <c r="AT244" s="31"/>
      <c r="AU244" s="5"/>
      <c r="AV244" s="27"/>
      <c r="AW244" s="5"/>
      <c r="AX244" s="5"/>
      <c r="AY244" s="5"/>
      <c r="AZ244" s="31"/>
      <c r="BA244" s="5"/>
      <c r="BB244" s="27"/>
      <c r="BC244" s="5"/>
      <c r="BD244" s="5"/>
      <c r="BE244" s="5"/>
      <c r="BF244" s="28"/>
    </row>
    <row r="245" spans="3:58" x14ac:dyDescent="0.25">
      <c r="C245" s="5"/>
      <c r="D245" s="27"/>
      <c r="E245" s="5"/>
      <c r="F245" s="27"/>
      <c r="G245" s="6"/>
      <c r="H245" s="5"/>
      <c r="I245" s="27"/>
      <c r="J245" s="5"/>
      <c r="K245" s="5"/>
      <c r="L245" s="31"/>
      <c r="M245" s="5"/>
      <c r="N245" s="27"/>
      <c r="O245" s="5"/>
      <c r="P245" s="5"/>
      <c r="Q245" s="31"/>
      <c r="R245" s="5"/>
      <c r="S245" s="27"/>
      <c r="T245" s="5"/>
      <c r="U245" s="5"/>
      <c r="V245" s="31"/>
      <c r="W245" s="5"/>
      <c r="X245" s="27"/>
      <c r="Y245" s="5"/>
      <c r="Z245" s="5"/>
      <c r="AA245" s="28"/>
      <c r="AB245" s="105"/>
      <c r="AC245" s="5"/>
      <c r="AD245" s="27"/>
      <c r="AE245" s="5"/>
      <c r="AF245" s="5"/>
      <c r="AG245" s="27"/>
      <c r="AH245" s="6"/>
      <c r="AI245" s="5"/>
      <c r="AJ245" s="27"/>
      <c r="AK245" s="5"/>
      <c r="AL245" s="5"/>
      <c r="AM245" s="5"/>
      <c r="AN245" s="31"/>
      <c r="AO245" s="5"/>
      <c r="AP245" s="27"/>
      <c r="AQ245" s="5"/>
      <c r="AR245" s="5"/>
      <c r="AS245" s="27"/>
      <c r="AT245" s="31"/>
      <c r="AU245" s="5"/>
      <c r="AV245" s="27"/>
      <c r="AW245" s="5"/>
      <c r="AX245" s="5"/>
      <c r="AY245" s="5"/>
      <c r="AZ245" s="31"/>
      <c r="BA245" s="5"/>
      <c r="BB245" s="27"/>
      <c r="BC245" s="5"/>
      <c r="BD245" s="5"/>
      <c r="BE245" s="5"/>
      <c r="BF245" s="28"/>
    </row>
    <row r="246" spans="3:58" x14ac:dyDescent="0.25">
      <c r="C246" s="5"/>
      <c r="D246" s="27"/>
      <c r="E246" s="5"/>
      <c r="F246" s="27"/>
      <c r="G246" s="6"/>
      <c r="H246" s="5"/>
      <c r="I246" s="27"/>
      <c r="J246" s="5"/>
      <c r="K246" s="5"/>
      <c r="L246" s="31"/>
      <c r="M246" s="5"/>
      <c r="N246" s="27"/>
      <c r="O246" s="5"/>
      <c r="P246" s="5"/>
      <c r="Q246" s="31"/>
      <c r="R246" s="5"/>
      <c r="S246" s="27"/>
      <c r="T246" s="5"/>
      <c r="U246" s="5"/>
      <c r="V246" s="31"/>
      <c r="W246" s="5"/>
      <c r="X246" s="27"/>
      <c r="Y246" s="5"/>
      <c r="Z246" s="5"/>
      <c r="AA246" s="28"/>
      <c r="AB246" s="105"/>
      <c r="AC246" s="5"/>
      <c r="AD246" s="27"/>
      <c r="AE246" s="5"/>
      <c r="AF246" s="5"/>
      <c r="AG246" s="27"/>
      <c r="AH246" s="6"/>
      <c r="AI246" s="5"/>
      <c r="AJ246" s="27"/>
      <c r="AK246" s="5"/>
      <c r="AL246" s="5"/>
      <c r="AM246" s="5"/>
      <c r="AN246" s="31"/>
      <c r="AO246" s="5"/>
      <c r="AP246" s="27"/>
      <c r="AQ246" s="5"/>
      <c r="AR246" s="5"/>
      <c r="AS246" s="27"/>
      <c r="AT246" s="31"/>
      <c r="AU246" s="5"/>
      <c r="AV246" s="27"/>
      <c r="AW246" s="5"/>
      <c r="AX246" s="5"/>
      <c r="AY246" s="5"/>
      <c r="AZ246" s="31"/>
      <c r="BA246" s="5"/>
      <c r="BB246" s="27"/>
      <c r="BC246" s="5"/>
      <c r="BD246" s="5"/>
      <c r="BE246" s="5"/>
      <c r="BF246" s="28"/>
    </row>
    <row r="247" spans="3:58" x14ac:dyDescent="0.25">
      <c r="C247" s="5"/>
      <c r="D247" s="27"/>
      <c r="E247" s="5"/>
      <c r="F247" s="27"/>
      <c r="G247" s="6"/>
      <c r="H247" s="5"/>
      <c r="I247" s="27"/>
      <c r="J247" s="5"/>
      <c r="K247" s="5"/>
      <c r="L247" s="31"/>
      <c r="M247" s="5"/>
      <c r="N247" s="27"/>
      <c r="O247" s="5"/>
      <c r="P247" s="5"/>
      <c r="Q247" s="31"/>
      <c r="R247" s="5"/>
      <c r="S247" s="27"/>
      <c r="T247" s="5"/>
      <c r="U247" s="5"/>
      <c r="V247" s="31"/>
      <c r="W247" s="5"/>
      <c r="X247" s="27"/>
      <c r="Y247" s="5"/>
      <c r="Z247" s="5"/>
      <c r="AA247" s="28"/>
      <c r="AB247" s="105"/>
      <c r="AC247" s="5"/>
      <c r="AD247" s="27"/>
      <c r="AE247" s="5"/>
      <c r="AF247" s="5"/>
      <c r="AG247" s="27"/>
      <c r="AH247" s="6"/>
      <c r="AI247" s="5"/>
      <c r="AJ247" s="27"/>
      <c r="AK247" s="5"/>
      <c r="AL247" s="5"/>
      <c r="AM247" s="5"/>
      <c r="AN247" s="31"/>
      <c r="AO247" s="5"/>
      <c r="AP247" s="27"/>
      <c r="AQ247" s="5"/>
      <c r="AR247" s="5"/>
      <c r="AS247" s="27"/>
      <c r="AT247" s="31"/>
      <c r="AU247" s="5"/>
      <c r="AV247" s="27"/>
      <c r="AW247" s="5"/>
      <c r="AX247" s="5"/>
      <c r="AY247" s="5"/>
      <c r="AZ247" s="31"/>
      <c r="BA247" s="5"/>
      <c r="BB247" s="27"/>
      <c r="BC247" s="5"/>
      <c r="BD247" s="5"/>
      <c r="BE247" s="5"/>
      <c r="BF247" s="28"/>
    </row>
    <row r="248" spans="3:58" x14ac:dyDescent="0.25">
      <c r="C248" s="5"/>
      <c r="D248" s="27"/>
      <c r="E248" s="5"/>
      <c r="F248" s="27"/>
      <c r="G248" s="6"/>
      <c r="H248" s="5"/>
      <c r="I248" s="27"/>
      <c r="J248" s="5"/>
      <c r="K248" s="5"/>
      <c r="L248" s="31"/>
      <c r="M248" s="5"/>
      <c r="N248" s="27"/>
      <c r="O248" s="5"/>
      <c r="P248" s="5"/>
      <c r="Q248" s="31"/>
      <c r="R248" s="5"/>
      <c r="S248" s="27"/>
      <c r="T248" s="5"/>
      <c r="U248" s="5"/>
      <c r="V248" s="31"/>
      <c r="W248" s="5"/>
      <c r="X248" s="27"/>
      <c r="Y248" s="5"/>
      <c r="Z248" s="5"/>
      <c r="AA248" s="28"/>
      <c r="AB248" s="105"/>
      <c r="AC248" s="5"/>
      <c r="AD248" s="27"/>
      <c r="AE248" s="5"/>
      <c r="AF248" s="5"/>
      <c r="AG248" s="27"/>
      <c r="AH248" s="6"/>
      <c r="AI248" s="5"/>
      <c r="AJ248" s="27"/>
      <c r="AK248" s="5"/>
      <c r="AL248" s="5"/>
      <c r="AM248" s="5"/>
      <c r="AN248" s="31"/>
      <c r="AO248" s="5"/>
      <c r="AP248" s="27"/>
      <c r="AQ248" s="5"/>
      <c r="AR248" s="5"/>
      <c r="AS248" s="27"/>
      <c r="AT248" s="31"/>
      <c r="AU248" s="5"/>
      <c r="AV248" s="27"/>
      <c r="AW248" s="5"/>
      <c r="AX248" s="5"/>
      <c r="AY248" s="5"/>
      <c r="AZ248" s="31"/>
      <c r="BA248" s="5"/>
      <c r="BB248" s="27"/>
      <c r="BC248" s="5"/>
      <c r="BD248" s="5"/>
      <c r="BE248" s="5"/>
      <c r="BF248" s="28"/>
    </row>
    <row r="249" spans="3:58" x14ac:dyDescent="0.25">
      <c r="C249" s="5"/>
      <c r="D249" s="27"/>
      <c r="E249" s="5"/>
      <c r="F249" s="27"/>
      <c r="G249" s="6"/>
      <c r="H249" s="5"/>
      <c r="I249" s="27"/>
      <c r="J249" s="5"/>
      <c r="K249" s="5"/>
      <c r="L249" s="31"/>
      <c r="M249" s="5"/>
      <c r="N249" s="27"/>
      <c r="O249" s="5"/>
      <c r="P249" s="5"/>
      <c r="Q249" s="31"/>
      <c r="R249" s="5"/>
      <c r="S249" s="27"/>
      <c r="T249" s="5"/>
      <c r="U249" s="5"/>
      <c r="V249" s="31"/>
      <c r="W249" s="5"/>
      <c r="X249" s="27"/>
      <c r="Y249" s="5"/>
      <c r="Z249" s="5"/>
      <c r="AA249" s="28"/>
      <c r="AB249" s="105"/>
      <c r="AC249" s="5"/>
      <c r="AD249" s="27"/>
      <c r="AE249" s="5"/>
      <c r="AF249" s="5"/>
      <c r="AG249" s="27"/>
      <c r="AH249" s="6"/>
      <c r="AI249" s="5"/>
      <c r="AJ249" s="27"/>
      <c r="AK249" s="5"/>
      <c r="AL249" s="5"/>
      <c r="AM249" s="5"/>
      <c r="AN249" s="31"/>
      <c r="AO249" s="5"/>
      <c r="AP249" s="27"/>
      <c r="AQ249" s="5"/>
      <c r="AR249" s="5"/>
      <c r="AS249" s="27"/>
      <c r="AT249" s="31"/>
      <c r="AU249" s="5"/>
      <c r="AV249" s="27"/>
      <c r="AW249" s="5"/>
      <c r="AX249" s="5"/>
      <c r="AY249" s="5"/>
      <c r="AZ249" s="31"/>
      <c r="BA249" s="5"/>
      <c r="BB249" s="27"/>
      <c r="BC249" s="5"/>
      <c r="BD249" s="5"/>
      <c r="BE249" s="5"/>
      <c r="BF249" s="28"/>
    </row>
    <row r="250" spans="3:58" x14ac:dyDescent="0.25">
      <c r="C250" s="5"/>
      <c r="D250" s="27"/>
      <c r="E250" s="5"/>
      <c r="F250" s="27"/>
      <c r="G250" s="6"/>
      <c r="H250" s="5"/>
      <c r="I250" s="27"/>
      <c r="J250" s="5"/>
      <c r="K250" s="5"/>
      <c r="L250" s="31"/>
      <c r="M250" s="5"/>
      <c r="N250" s="27"/>
      <c r="O250" s="5"/>
      <c r="P250" s="5"/>
      <c r="Q250" s="31"/>
      <c r="R250" s="5"/>
      <c r="S250" s="27"/>
      <c r="T250" s="5"/>
      <c r="U250" s="5"/>
      <c r="V250" s="31"/>
      <c r="W250" s="5"/>
      <c r="X250" s="27"/>
      <c r="Y250" s="5"/>
      <c r="Z250" s="5"/>
      <c r="AA250" s="28"/>
      <c r="AB250" s="105"/>
      <c r="AC250" s="5"/>
      <c r="AD250" s="27"/>
      <c r="AE250" s="5"/>
      <c r="AF250" s="5"/>
      <c r="AG250" s="27"/>
      <c r="AH250" s="6"/>
      <c r="AI250" s="5"/>
      <c r="AJ250" s="27"/>
      <c r="AK250" s="5"/>
      <c r="AL250" s="5"/>
      <c r="AM250" s="5"/>
      <c r="AN250" s="31"/>
      <c r="AO250" s="5"/>
      <c r="AP250" s="27"/>
      <c r="AQ250" s="5"/>
      <c r="AR250" s="5"/>
      <c r="AS250" s="27"/>
      <c r="AT250" s="31"/>
      <c r="AU250" s="5"/>
      <c r="AV250" s="27"/>
      <c r="AW250" s="5"/>
      <c r="AX250" s="5"/>
      <c r="AY250" s="5"/>
      <c r="AZ250" s="31"/>
      <c r="BA250" s="5"/>
      <c r="BB250" s="27"/>
      <c r="BC250" s="5"/>
      <c r="BD250" s="5"/>
      <c r="BE250" s="5"/>
      <c r="BF250" s="28"/>
    </row>
    <row r="251" spans="3:58" x14ac:dyDescent="0.25">
      <c r="C251" s="5"/>
      <c r="D251" s="27"/>
      <c r="E251" s="5"/>
      <c r="F251" s="27"/>
      <c r="G251" s="6"/>
      <c r="H251" s="5"/>
      <c r="I251" s="27"/>
      <c r="J251" s="5"/>
      <c r="K251" s="5"/>
      <c r="L251" s="31"/>
      <c r="M251" s="5"/>
      <c r="N251" s="27"/>
      <c r="O251" s="5"/>
      <c r="P251" s="5"/>
      <c r="Q251" s="31"/>
      <c r="R251" s="5"/>
      <c r="S251" s="27"/>
      <c r="T251" s="5"/>
      <c r="U251" s="5"/>
      <c r="V251" s="31"/>
      <c r="W251" s="5"/>
      <c r="X251" s="27"/>
      <c r="Y251" s="5"/>
      <c r="Z251" s="5"/>
      <c r="AA251" s="28"/>
      <c r="AB251" s="105"/>
      <c r="AC251" s="5"/>
      <c r="AD251" s="27"/>
      <c r="AE251" s="5"/>
      <c r="AF251" s="5"/>
      <c r="AG251" s="27"/>
      <c r="AH251" s="6"/>
      <c r="AI251" s="5"/>
      <c r="AJ251" s="27"/>
      <c r="AK251" s="5"/>
      <c r="AL251" s="5"/>
      <c r="AM251" s="5"/>
      <c r="AN251" s="31"/>
      <c r="AO251" s="5"/>
      <c r="AP251" s="27"/>
      <c r="AQ251" s="5"/>
      <c r="AR251" s="5"/>
      <c r="AS251" s="27"/>
      <c r="AT251" s="31"/>
      <c r="AU251" s="5"/>
      <c r="AV251" s="27"/>
      <c r="AW251" s="5"/>
      <c r="AX251" s="5"/>
      <c r="AY251" s="5"/>
      <c r="AZ251" s="31"/>
      <c r="BA251" s="5"/>
      <c r="BB251" s="27"/>
      <c r="BC251" s="5"/>
      <c r="BD251" s="5"/>
      <c r="BE251" s="5"/>
      <c r="BF251" s="28"/>
    </row>
    <row r="252" spans="3:58" x14ac:dyDescent="0.25">
      <c r="C252" s="5"/>
      <c r="D252" s="27"/>
      <c r="E252" s="5"/>
      <c r="F252" s="27"/>
      <c r="G252" s="6"/>
      <c r="H252" s="5"/>
      <c r="I252" s="27"/>
      <c r="J252" s="5"/>
      <c r="K252" s="5"/>
      <c r="L252" s="31"/>
      <c r="M252" s="5"/>
      <c r="N252" s="27"/>
      <c r="O252" s="5"/>
      <c r="P252" s="5"/>
      <c r="Q252" s="31"/>
      <c r="R252" s="5"/>
      <c r="S252" s="27"/>
      <c r="T252" s="5"/>
      <c r="U252" s="5"/>
      <c r="V252" s="31"/>
      <c r="W252" s="5"/>
      <c r="X252" s="27"/>
      <c r="Y252" s="5"/>
      <c r="Z252" s="5"/>
      <c r="AA252" s="28"/>
      <c r="AB252" s="105"/>
      <c r="AC252" s="5"/>
      <c r="AD252" s="27"/>
      <c r="AE252" s="5"/>
      <c r="AF252" s="5"/>
      <c r="AG252" s="27"/>
      <c r="AH252" s="6"/>
      <c r="AI252" s="5"/>
      <c r="AJ252" s="27"/>
      <c r="AK252" s="5"/>
      <c r="AL252" s="5"/>
      <c r="AM252" s="5"/>
      <c r="AN252" s="31"/>
      <c r="AO252" s="5"/>
      <c r="AP252" s="27"/>
      <c r="AQ252" s="5"/>
      <c r="AR252" s="5"/>
      <c r="AS252" s="27"/>
      <c r="AT252" s="31"/>
      <c r="AU252" s="5"/>
      <c r="AV252" s="27"/>
      <c r="AW252" s="5"/>
      <c r="AX252" s="5"/>
      <c r="AY252" s="5"/>
      <c r="AZ252" s="31"/>
      <c r="BA252" s="5"/>
      <c r="BB252" s="27"/>
      <c r="BC252" s="5"/>
      <c r="BD252" s="5"/>
      <c r="BE252" s="5"/>
      <c r="BF252" s="28"/>
    </row>
    <row r="253" spans="3:58" x14ac:dyDescent="0.25">
      <c r="C253" s="5"/>
      <c r="D253" s="27"/>
      <c r="E253" s="5"/>
      <c r="F253" s="27"/>
      <c r="G253" s="6"/>
      <c r="H253" s="5"/>
      <c r="I253" s="27"/>
      <c r="J253" s="5"/>
      <c r="K253" s="5"/>
      <c r="L253" s="31"/>
      <c r="M253" s="5"/>
      <c r="N253" s="27"/>
      <c r="O253" s="5"/>
      <c r="P253" s="5"/>
      <c r="Q253" s="31"/>
      <c r="R253" s="5"/>
      <c r="S253" s="27"/>
      <c r="T253" s="5"/>
      <c r="U253" s="5"/>
      <c r="V253" s="31"/>
      <c r="W253" s="5"/>
      <c r="X253" s="27"/>
      <c r="Y253" s="5"/>
      <c r="Z253" s="5"/>
      <c r="AA253" s="28"/>
      <c r="AB253" s="105"/>
      <c r="AC253" s="5"/>
      <c r="AD253" s="27"/>
      <c r="AE253" s="5"/>
      <c r="AF253" s="5"/>
      <c r="AG253" s="27"/>
      <c r="AH253" s="6"/>
      <c r="AI253" s="5"/>
      <c r="AJ253" s="27"/>
      <c r="AK253" s="5"/>
      <c r="AL253" s="5"/>
      <c r="AM253" s="5"/>
      <c r="AN253" s="31"/>
      <c r="AO253" s="5"/>
      <c r="AP253" s="27"/>
      <c r="AQ253" s="5"/>
      <c r="AR253" s="5"/>
      <c r="AS253" s="27"/>
      <c r="AT253" s="31"/>
      <c r="AU253" s="5"/>
      <c r="AV253" s="27"/>
      <c r="AW253" s="5"/>
      <c r="AX253" s="5"/>
      <c r="AY253" s="5"/>
      <c r="AZ253" s="31"/>
      <c r="BA253" s="5"/>
      <c r="BB253" s="27"/>
      <c r="BC253" s="5"/>
      <c r="BD253" s="5"/>
      <c r="BE253" s="5"/>
      <c r="BF253" s="28"/>
    </row>
    <row r="254" spans="3:58" x14ac:dyDescent="0.25">
      <c r="C254" s="5"/>
      <c r="D254" s="27"/>
      <c r="E254" s="5"/>
      <c r="F254" s="27"/>
      <c r="G254" s="6"/>
      <c r="H254" s="5"/>
      <c r="I254" s="27"/>
      <c r="J254" s="5"/>
      <c r="K254" s="5"/>
      <c r="L254" s="31"/>
      <c r="M254" s="5"/>
      <c r="N254" s="27"/>
      <c r="O254" s="5"/>
      <c r="P254" s="5"/>
      <c r="Q254" s="31"/>
      <c r="R254" s="5"/>
      <c r="S254" s="27"/>
      <c r="T254" s="5"/>
      <c r="U254" s="5"/>
      <c r="V254" s="31"/>
      <c r="W254" s="5"/>
      <c r="X254" s="27"/>
      <c r="Y254" s="5"/>
      <c r="Z254" s="5"/>
      <c r="AA254" s="28"/>
      <c r="AB254" s="105"/>
      <c r="AC254" s="5"/>
      <c r="AD254" s="27"/>
      <c r="AE254" s="5"/>
      <c r="AF254" s="5"/>
      <c r="AG254" s="27"/>
      <c r="AH254" s="6"/>
      <c r="AI254" s="5"/>
      <c r="AJ254" s="27"/>
      <c r="AK254" s="5"/>
      <c r="AL254" s="5"/>
      <c r="AM254" s="5"/>
      <c r="AN254" s="31"/>
      <c r="AO254" s="5"/>
      <c r="AP254" s="27"/>
      <c r="AQ254" s="5"/>
      <c r="AR254" s="5"/>
      <c r="AS254" s="27"/>
      <c r="AT254" s="31"/>
      <c r="AU254" s="5"/>
      <c r="AV254" s="27"/>
      <c r="AW254" s="5"/>
      <c r="AX254" s="5"/>
      <c r="AY254" s="5"/>
      <c r="AZ254" s="31"/>
      <c r="BA254" s="5"/>
      <c r="BB254" s="27"/>
      <c r="BC254" s="5"/>
      <c r="BD254" s="5"/>
      <c r="BE254" s="5"/>
      <c r="BF254" s="28"/>
    </row>
    <row r="255" spans="3:58" x14ac:dyDescent="0.25">
      <c r="C255" s="5"/>
      <c r="D255" s="27"/>
      <c r="E255" s="5"/>
      <c r="F255" s="27"/>
      <c r="G255" s="6"/>
      <c r="H255" s="5"/>
      <c r="I255" s="27"/>
      <c r="J255" s="5"/>
      <c r="K255" s="5"/>
      <c r="L255" s="31"/>
      <c r="M255" s="5"/>
      <c r="N255" s="27"/>
      <c r="O255" s="5"/>
      <c r="P255" s="5"/>
      <c r="Q255" s="31"/>
      <c r="R255" s="5"/>
      <c r="S255" s="27"/>
      <c r="T255" s="5"/>
      <c r="U255" s="5"/>
      <c r="V255" s="31"/>
      <c r="W255" s="5"/>
      <c r="X255" s="27"/>
      <c r="Y255" s="5"/>
      <c r="Z255" s="5"/>
      <c r="AA255" s="28"/>
      <c r="AB255" s="105"/>
      <c r="AC255" s="5"/>
      <c r="AD255" s="27"/>
      <c r="AE255" s="5"/>
      <c r="AF255" s="5"/>
      <c r="AG255" s="27"/>
      <c r="AH255" s="6"/>
      <c r="AI255" s="5"/>
      <c r="AJ255" s="27"/>
      <c r="AK255" s="5"/>
      <c r="AL255" s="5"/>
      <c r="AM255" s="5"/>
      <c r="AN255" s="31"/>
      <c r="AO255" s="5"/>
      <c r="AP255" s="27"/>
      <c r="AQ255" s="5"/>
      <c r="AR255" s="5"/>
      <c r="AS255" s="27"/>
      <c r="AT255" s="31"/>
      <c r="AU255" s="5"/>
      <c r="AV255" s="27"/>
      <c r="AW255" s="5"/>
      <c r="AX255" s="5"/>
      <c r="AY255" s="5"/>
      <c r="AZ255" s="31"/>
      <c r="BA255" s="5"/>
      <c r="BB255" s="27"/>
      <c r="BC255" s="5"/>
      <c r="BD255" s="5"/>
      <c r="BE255" s="5"/>
      <c r="BF255" s="28"/>
    </row>
    <row r="256" spans="3:58" x14ac:dyDescent="0.25">
      <c r="C256" s="5"/>
      <c r="D256" s="27"/>
      <c r="E256" s="5"/>
      <c r="F256" s="27"/>
      <c r="G256" s="6"/>
      <c r="H256" s="5"/>
      <c r="I256" s="27"/>
      <c r="J256" s="5"/>
      <c r="K256" s="5"/>
      <c r="L256" s="31"/>
      <c r="M256" s="5"/>
      <c r="N256" s="27"/>
      <c r="O256" s="5"/>
      <c r="P256" s="5"/>
      <c r="Q256" s="31"/>
      <c r="R256" s="5"/>
      <c r="S256" s="27"/>
      <c r="T256" s="5"/>
      <c r="U256" s="5"/>
      <c r="V256" s="31"/>
      <c r="W256" s="5"/>
      <c r="X256" s="27"/>
      <c r="Y256" s="5"/>
      <c r="Z256" s="5"/>
      <c r="AA256" s="28"/>
      <c r="AB256" s="105"/>
      <c r="AC256" s="5"/>
      <c r="AD256" s="27"/>
      <c r="AE256" s="5"/>
      <c r="AF256" s="5"/>
      <c r="AG256" s="27"/>
      <c r="AH256" s="6"/>
      <c r="AI256" s="5"/>
      <c r="AJ256" s="27"/>
      <c r="AK256" s="5"/>
      <c r="AL256" s="5"/>
      <c r="AM256" s="5"/>
      <c r="AN256" s="31"/>
      <c r="AO256" s="5"/>
      <c r="AP256" s="27"/>
      <c r="AQ256" s="5"/>
      <c r="AR256" s="5"/>
      <c r="AS256" s="27"/>
      <c r="AT256" s="31"/>
      <c r="AU256" s="5"/>
      <c r="AV256" s="27"/>
      <c r="AW256" s="5"/>
      <c r="AX256" s="5"/>
      <c r="AY256" s="5"/>
      <c r="AZ256" s="31"/>
      <c r="BA256" s="5"/>
      <c r="BB256" s="27"/>
      <c r="BC256" s="5"/>
      <c r="BD256" s="5"/>
      <c r="BE256" s="5"/>
      <c r="BF256" s="28"/>
    </row>
    <row r="257" spans="3:58" x14ac:dyDescent="0.25">
      <c r="C257" s="5"/>
      <c r="D257" s="27"/>
      <c r="E257" s="5"/>
      <c r="F257" s="27"/>
      <c r="G257" s="6"/>
      <c r="H257" s="5"/>
      <c r="I257" s="27"/>
      <c r="J257" s="5"/>
      <c r="K257" s="5"/>
      <c r="L257" s="31"/>
      <c r="M257" s="5"/>
      <c r="N257" s="27"/>
      <c r="O257" s="5"/>
      <c r="P257" s="5"/>
      <c r="Q257" s="31"/>
      <c r="R257" s="5"/>
      <c r="S257" s="27"/>
      <c r="T257" s="5"/>
      <c r="U257" s="5"/>
      <c r="V257" s="31"/>
      <c r="W257" s="5"/>
      <c r="X257" s="27"/>
      <c r="Y257" s="5"/>
      <c r="Z257" s="5"/>
      <c r="AA257" s="28"/>
      <c r="AB257" s="105"/>
      <c r="AC257" s="5"/>
      <c r="AD257" s="27"/>
      <c r="AE257" s="5"/>
      <c r="AF257" s="5"/>
      <c r="AG257" s="27"/>
      <c r="AH257" s="6"/>
      <c r="AI257" s="5"/>
      <c r="AJ257" s="27"/>
      <c r="AK257" s="5"/>
      <c r="AL257" s="5"/>
      <c r="AM257" s="5"/>
      <c r="AN257" s="31"/>
      <c r="AO257" s="5"/>
      <c r="AP257" s="27"/>
      <c r="AQ257" s="5"/>
      <c r="AR257" s="5"/>
      <c r="AS257" s="27"/>
      <c r="AT257" s="31"/>
      <c r="AU257" s="5"/>
      <c r="AV257" s="27"/>
      <c r="AW257" s="5"/>
      <c r="AX257" s="5"/>
      <c r="AY257" s="5"/>
      <c r="AZ257" s="31"/>
      <c r="BA257" s="5"/>
      <c r="BB257" s="27"/>
      <c r="BC257" s="5"/>
      <c r="BD257" s="5"/>
      <c r="BE257" s="5"/>
      <c r="BF257" s="28"/>
    </row>
    <row r="258" spans="3:58" x14ac:dyDescent="0.25">
      <c r="C258" s="5"/>
      <c r="D258" s="27"/>
      <c r="E258" s="5"/>
      <c r="F258" s="27"/>
      <c r="G258" s="6"/>
      <c r="H258" s="5"/>
      <c r="I258" s="27"/>
      <c r="J258" s="5"/>
      <c r="K258" s="5"/>
      <c r="L258" s="31"/>
      <c r="M258" s="5"/>
      <c r="N258" s="27"/>
      <c r="O258" s="5"/>
      <c r="P258" s="5"/>
      <c r="Q258" s="31"/>
      <c r="R258" s="5"/>
      <c r="S258" s="27"/>
      <c r="T258" s="5"/>
      <c r="U258" s="5"/>
      <c r="V258" s="31"/>
      <c r="W258" s="5"/>
      <c r="X258" s="27"/>
      <c r="Y258" s="5"/>
      <c r="Z258" s="5"/>
      <c r="AA258" s="28"/>
      <c r="AB258" s="105"/>
      <c r="AC258" s="5"/>
      <c r="AD258" s="27"/>
      <c r="AE258" s="5"/>
      <c r="AF258" s="5"/>
      <c r="AG258" s="27"/>
      <c r="AH258" s="6"/>
      <c r="AI258" s="5"/>
      <c r="AJ258" s="27"/>
      <c r="AK258" s="5"/>
      <c r="AL258" s="5"/>
      <c r="AM258" s="5"/>
      <c r="AN258" s="31"/>
      <c r="AO258" s="5"/>
      <c r="AP258" s="27"/>
      <c r="AQ258" s="5"/>
      <c r="AR258" s="5"/>
      <c r="AS258" s="27"/>
      <c r="AT258" s="31"/>
      <c r="AU258" s="5"/>
      <c r="AV258" s="27"/>
      <c r="AW258" s="5"/>
      <c r="AX258" s="5"/>
      <c r="AY258" s="5"/>
      <c r="AZ258" s="31"/>
      <c r="BA258" s="5"/>
      <c r="BB258" s="27"/>
      <c r="BC258" s="5"/>
      <c r="BD258" s="5"/>
      <c r="BE258" s="5"/>
      <c r="BF258" s="28"/>
    </row>
    <row r="259" spans="3:58" x14ac:dyDescent="0.25">
      <c r="C259" s="5"/>
      <c r="D259" s="27"/>
      <c r="E259" s="5"/>
      <c r="F259" s="27"/>
      <c r="G259" s="6"/>
      <c r="H259" s="5"/>
      <c r="I259" s="27"/>
      <c r="J259" s="5"/>
      <c r="K259" s="5"/>
      <c r="L259" s="31"/>
      <c r="M259" s="5"/>
      <c r="N259" s="27"/>
      <c r="O259" s="5"/>
      <c r="P259" s="5"/>
      <c r="Q259" s="31"/>
      <c r="R259" s="5"/>
      <c r="S259" s="27"/>
      <c r="T259" s="5"/>
      <c r="U259" s="5"/>
      <c r="V259" s="31"/>
      <c r="W259" s="5"/>
      <c r="X259" s="27"/>
      <c r="Y259" s="5"/>
      <c r="Z259" s="5"/>
      <c r="AA259" s="28"/>
      <c r="AB259" s="105"/>
      <c r="AC259" s="5"/>
      <c r="AD259" s="27"/>
      <c r="AE259" s="5"/>
      <c r="AF259" s="5"/>
      <c r="AG259" s="27"/>
      <c r="AH259" s="6"/>
      <c r="AI259" s="5"/>
      <c r="AJ259" s="27"/>
      <c r="AK259" s="5"/>
      <c r="AL259" s="5"/>
      <c r="AM259" s="5"/>
      <c r="AN259" s="31"/>
      <c r="AO259" s="5"/>
      <c r="AP259" s="27"/>
      <c r="AQ259" s="5"/>
      <c r="AR259" s="5"/>
      <c r="AS259" s="27"/>
      <c r="AT259" s="31"/>
      <c r="AU259" s="5"/>
      <c r="AV259" s="27"/>
      <c r="AW259" s="5"/>
      <c r="AX259" s="5"/>
      <c r="AY259" s="5"/>
      <c r="AZ259" s="31"/>
      <c r="BA259" s="5"/>
      <c r="BB259" s="27"/>
      <c r="BC259" s="5"/>
      <c r="BD259" s="5"/>
      <c r="BE259" s="5"/>
      <c r="BF259" s="28"/>
    </row>
    <row r="260" spans="3:58" x14ac:dyDescent="0.25">
      <c r="C260" s="5"/>
      <c r="D260" s="27"/>
      <c r="E260" s="5"/>
      <c r="F260" s="27"/>
      <c r="G260" s="6"/>
      <c r="H260" s="5"/>
      <c r="I260" s="27"/>
      <c r="J260" s="5"/>
      <c r="K260" s="5"/>
      <c r="L260" s="31"/>
      <c r="M260" s="5"/>
      <c r="N260" s="27"/>
      <c r="O260" s="5"/>
      <c r="P260" s="5"/>
      <c r="Q260" s="31"/>
      <c r="R260" s="5"/>
      <c r="S260" s="27"/>
      <c r="T260" s="5"/>
      <c r="U260" s="5"/>
      <c r="V260" s="31"/>
      <c r="W260" s="5"/>
      <c r="X260" s="27"/>
      <c r="Y260" s="5"/>
      <c r="Z260" s="5"/>
      <c r="AA260" s="28"/>
      <c r="AB260" s="105"/>
      <c r="AC260" s="5"/>
      <c r="AD260" s="27"/>
      <c r="AE260" s="5"/>
      <c r="AF260" s="5"/>
      <c r="AG260" s="27"/>
      <c r="AH260" s="6"/>
      <c r="AI260" s="5"/>
      <c r="AJ260" s="27"/>
      <c r="AK260" s="5"/>
      <c r="AL260" s="5"/>
      <c r="AM260" s="5"/>
      <c r="AN260" s="31"/>
      <c r="AO260" s="5"/>
      <c r="AP260" s="27"/>
      <c r="AQ260" s="5"/>
      <c r="AR260" s="5"/>
      <c r="AS260" s="27"/>
      <c r="AT260" s="31"/>
      <c r="AU260" s="5"/>
      <c r="AV260" s="27"/>
      <c r="AW260" s="5"/>
      <c r="AX260" s="5"/>
      <c r="AY260" s="5"/>
      <c r="AZ260" s="31"/>
      <c r="BA260" s="5"/>
      <c r="BB260" s="27"/>
      <c r="BC260" s="5"/>
      <c r="BD260" s="5"/>
      <c r="BE260" s="5"/>
      <c r="BF260" s="28"/>
    </row>
    <row r="261" spans="3:58" x14ac:dyDescent="0.25">
      <c r="C261" s="5"/>
      <c r="D261" s="27"/>
      <c r="E261" s="5"/>
      <c r="F261" s="27"/>
      <c r="G261" s="6"/>
      <c r="H261" s="5"/>
      <c r="I261" s="27"/>
      <c r="J261" s="5"/>
      <c r="K261" s="5"/>
      <c r="L261" s="31"/>
      <c r="M261" s="5"/>
      <c r="N261" s="27"/>
      <c r="O261" s="5"/>
      <c r="P261" s="5"/>
      <c r="Q261" s="31"/>
      <c r="R261" s="5"/>
      <c r="S261" s="27"/>
      <c r="T261" s="5"/>
      <c r="U261" s="5"/>
      <c r="V261" s="31"/>
      <c r="W261" s="5"/>
      <c r="X261" s="27"/>
      <c r="Y261" s="5"/>
      <c r="Z261" s="5"/>
      <c r="AA261" s="28"/>
      <c r="AB261" s="105"/>
      <c r="AC261" s="5"/>
      <c r="AD261" s="27"/>
      <c r="AE261" s="5"/>
      <c r="AF261" s="5"/>
      <c r="AG261" s="27"/>
      <c r="AH261" s="6"/>
      <c r="AI261" s="5"/>
      <c r="AJ261" s="27"/>
      <c r="AK261" s="5"/>
      <c r="AL261" s="5"/>
      <c r="AM261" s="5"/>
      <c r="AN261" s="31"/>
      <c r="AO261" s="5"/>
      <c r="AP261" s="27"/>
      <c r="AQ261" s="5"/>
      <c r="AR261" s="5"/>
      <c r="AS261" s="27"/>
      <c r="AT261" s="31"/>
      <c r="AU261" s="5"/>
      <c r="AV261" s="27"/>
      <c r="AW261" s="5"/>
      <c r="AX261" s="5"/>
      <c r="AY261" s="5"/>
      <c r="AZ261" s="31"/>
      <c r="BA261" s="5"/>
      <c r="BB261" s="27"/>
      <c r="BC261" s="5"/>
      <c r="BD261" s="5"/>
      <c r="BE261" s="5"/>
      <c r="BF261" s="28"/>
    </row>
    <row r="262" spans="3:58" x14ac:dyDescent="0.25">
      <c r="C262" s="5"/>
      <c r="D262" s="27"/>
      <c r="E262" s="5"/>
      <c r="F262" s="27"/>
      <c r="G262" s="6"/>
      <c r="H262" s="5"/>
      <c r="I262" s="27"/>
      <c r="J262" s="5"/>
      <c r="K262" s="5"/>
      <c r="L262" s="31"/>
      <c r="M262" s="5"/>
      <c r="N262" s="27"/>
      <c r="O262" s="5"/>
      <c r="P262" s="5"/>
      <c r="Q262" s="31"/>
      <c r="R262" s="5"/>
      <c r="S262" s="27"/>
      <c r="T262" s="5"/>
      <c r="U262" s="5"/>
      <c r="V262" s="31"/>
      <c r="W262" s="5"/>
      <c r="X262" s="27"/>
      <c r="Y262" s="5"/>
      <c r="Z262" s="5"/>
      <c r="AA262" s="28"/>
      <c r="AB262" s="105"/>
      <c r="AC262" s="5"/>
      <c r="AD262" s="27"/>
      <c r="AE262" s="5"/>
      <c r="AF262" s="5"/>
      <c r="AG262" s="27"/>
      <c r="AH262" s="6"/>
      <c r="AI262" s="5"/>
      <c r="AJ262" s="27"/>
      <c r="AK262" s="5"/>
      <c r="AL262" s="5"/>
      <c r="AM262" s="5"/>
      <c r="AN262" s="31"/>
      <c r="AO262" s="5"/>
      <c r="AP262" s="27"/>
      <c r="AQ262" s="5"/>
      <c r="AR262" s="5"/>
      <c r="AS262" s="27"/>
      <c r="AT262" s="31"/>
      <c r="AU262" s="5"/>
      <c r="AV262" s="27"/>
      <c r="AW262" s="5"/>
      <c r="AX262" s="5"/>
      <c r="AY262" s="5"/>
      <c r="AZ262" s="31"/>
      <c r="BA262" s="5"/>
      <c r="BB262" s="27"/>
      <c r="BC262" s="5"/>
      <c r="BD262" s="5"/>
      <c r="BE262" s="5"/>
      <c r="BF262" s="28"/>
    </row>
    <row r="263" spans="3:58" x14ac:dyDescent="0.25">
      <c r="C263" s="5"/>
      <c r="D263" s="27"/>
      <c r="E263" s="5"/>
      <c r="F263" s="27"/>
      <c r="G263" s="6"/>
      <c r="H263" s="5"/>
      <c r="I263" s="27"/>
      <c r="J263" s="5"/>
      <c r="K263" s="5"/>
      <c r="L263" s="31"/>
      <c r="M263" s="5"/>
      <c r="N263" s="27"/>
      <c r="O263" s="5"/>
      <c r="P263" s="5"/>
      <c r="Q263" s="31"/>
      <c r="R263" s="5"/>
      <c r="S263" s="27"/>
      <c r="T263" s="5"/>
      <c r="U263" s="5"/>
      <c r="V263" s="31"/>
      <c r="W263" s="5"/>
      <c r="X263" s="27"/>
      <c r="Y263" s="5"/>
      <c r="Z263" s="5"/>
      <c r="AA263" s="28"/>
      <c r="AB263" s="105"/>
      <c r="AC263" s="5"/>
      <c r="AD263" s="27"/>
      <c r="AE263" s="5"/>
      <c r="AF263" s="5"/>
      <c r="AG263" s="27"/>
      <c r="AH263" s="6"/>
      <c r="AI263" s="5"/>
      <c r="AJ263" s="27"/>
      <c r="AK263" s="5"/>
      <c r="AL263" s="5"/>
      <c r="AM263" s="5"/>
      <c r="AN263" s="31"/>
      <c r="AO263" s="5"/>
      <c r="AP263" s="27"/>
      <c r="AQ263" s="5"/>
      <c r="AR263" s="5"/>
      <c r="AS263" s="27"/>
      <c r="AT263" s="31"/>
      <c r="AU263" s="5"/>
      <c r="AV263" s="27"/>
      <c r="AW263" s="5"/>
      <c r="AX263" s="5"/>
      <c r="AY263" s="5"/>
      <c r="AZ263" s="31"/>
      <c r="BA263" s="5"/>
      <c r="BB263" s="27"/>
      <c r="BC263" s="5"/>
      <c r="BD263" s="5"/>
      <c r="BE263" s="5"/>
      <c r="BF263" s="28"/>
    </row>
    <row r="264" spans="3:58" x14ac:dyDescent="0.25">
      <c r="C264" s="5"/>
      <c r="D264" s="27"/>
      <c r="E264" s="5"/>
      <c r="F264" s="27"/>
      <c r="G264" s="6"/>
      <c r="H264" s="5"/>
      <c r="I264" s="27"/>
      <c r="J264" s="5"/>
      <c r="K264" s="5"/>
      <c r="L264" s="31"/>
      <c r="M264" s="5"/>
      <c r="N264" s="27"/>
      <c r="O264" s="5"/>
      <c r="P264" s="5"/>
      <c r="Q264" s="31"/>
      <c r="R264" s="5"/>
      <c r="S264" s="27"/>
      <c r="T264" s="5"/>
      <c r="U264" s="5"/>
      <c r="V264" s="31"/>
      <c r="W264" s="5"/>
      <c r="X264" s="27"/>
      <c r="Y264" s="5"/>
      <c r="Z264" s="5"/>
      <c r="AA264" s="28"/>
      <c r="AB264" s="105"/>
      <c r="AC264" s="5"/>
      <c r="AD264" s="27"/>
      <c r="AE264" s="5"/>
      <c r="AF264" s="5"/>
      <c r="AG264" s="27"/>
      <c r="AH264" s="6"/>
      <c r="AI264" s="5"/>
      <c r="AJ264" s="27"/>
      <c r="AK264" s="5"/>
      <c r="AL264" s="5"/>
      <c r="AM264" s="5"/>
      <c r="AN264" s="31"/>
      <c r="AO264" s="5"/>
      <c r="AP264" s="27"/>
      <c r="AQ264" s="5"/>
      <c r="AR264" s="5"/>
      <c r="AS264" s="27"/>
      <c r="AT264" s="31"/>
      <c r="AU264" s="5"/>
      <c r="AV264" s="27"/>
      <c r="AW264" s="5"/>
      <c r="AX264" s="5"/>
      <c r="AY264" s="5"/>
      <c r="AZ264" s="31"/>
      <c r="BA264" s="5"/>
      <c r="BB264" s="27"/>
      <c r="BC264" s="5"/>
      <c r="BD264" s="5"/>
      <c r="BE264" s="5"/>
      <c r="BF264" s="28"/>
    </row>
    <row r="265" spans="3:58" x14ac:dyDescent="0.25">
      <c r="C265" s="5"/>
      <c r="D265" s="27"/>
      <c r="E265" s="5"/>
      <c r="F265" s="27"/>
      <c r="G265" s="6"/>
      <c r="H265" s="5"/>
      <c r="I265" s="27"/>
      <c r="J265" s="5"/>
      <c r="K265" s="5"/>
      <c r="L265" s="31"/>
      <c r="M265" s="5"/>
      <c r="N265" s="27"/>
      <c r="O265" s="5"/>
      <c r="P265" s="5"/>
      <c r="Q265" s="31"/>
      <c r="R265" s="5"/>
      <c r="S265" s="27"/>
      <c r="T265" s="5"/>
      <c r="U265" s="5"/>
      <c r="V265" s="31"/>
      <c r="W265" s="5"/>
      <c r="X265" s="27"/>
      <c r="Y265" s="5"/>
      <c r="Z265" s="5"/>
      <c r="AA265" s="28"/>
      <c r="AB265" s="105"/>
      <c r="AC265" s="5"/>
      <c r="AD265" s="27"/>
      <c r="AE265" s="5"/>
      <c r="AF265" s="5"/>
      <c r="AG265" s="27"/>
      <c r="AH265" s="6"/>
      <c r="AI265" s="5"/>
      <c r="AJ265" s="27"/>
      <c r="AK265" s="5"/>
      <c r="AL265" s="5"/>
      <c r="AM265" s="5"/>
      <c r="AN265" s="31"/>
      <c r="AO265" s="5"/>
      <c r="AP265" s="27"/>
      <c r="AQ265" s="5"/>
      <c r="AR265" s="5"/>
      <c r="AS265" s="27"/>
      <c r="AT265" s="31"/>
      <c r="AU265" s="5"/>
      <c r="AV265" s="27"/>
      <c r="AW265" s="5"/>
      <c r="AX265" s="5"/>
      <c r="AY265" s="5"/>
      <c r="AZ265" s="31"/>
      <c r="BA265" s="5"/>
      <c r="BB265" s="27"/>
      <c r="BC265" s="5"/>
      <c r="BD265" s="5"/>
      <c r="BE265" s="5"/>
      <c r="BF265" s="28"/>
    </row>
    <row r="266" spans="3:58" x14ac:dyDescent="0.25">
      <c r="C266" s="5"/>
      <c r="D266" s="27"/>
      <c r="E266" s="5"/>
      <c r="F266" s="27"/>
      <c r="G266" s="6"/>
      <c r="H266" s="5"/>
      <c r="I266" s="27"/>
      <c r="J266" s="5"/>
      <c r="K266" s="5"/>
      <c r="L266" s="31"/>
      <c r="M266" s="5"/>
      <c r="N266" s="27"/>
      <c r="O266" s="5"/>
      <c r="P266" s="5"/>
      <c r="Q266" s="31"/>
      <c r="R266" s="5"/>
      <c r="S266" s="27"/>
      <c r="T266" s="5"/>
      <c r="U266" s="5"/>
      <c r="V266" s="31"/>
      <c r="W266" s="5"/>
      <c r="X266" s="27"/>
      <c r="Y266" s="5"/>
      <c r="Z266" s="5"/>
      <c r="AA266" s="28"/>
      <c r="AB266" s="105"/>
      <c r="AC266" s="5"/>
      <c r="AD266" s="27"/>
      <c r="AE266" s="5"/>
      <c r="AF266" s="5"/>
      <c r="AG266" s="27"/>
      <c r="AH266" s="6"/>
      <c r="AI266" s="5"/>
      <c r="AJ266" s="27"/>
      <c r="AK266" s="5"/>
      <c r="AL266" s="5"/>
      <c r="AM266" s="5"/>
      <c r="AN266" s="31"/>
      <c r="AO266" s="5"/>
      <c r="AP266" s="27"/>
      <c r="AQ266" s="5"/>
      <c r="AR266" s="5"/>
      <c r="AS266" s="27"/>
      <c r="AT266" s="31"/>
      <c r="AU266" s="5"/>
      <c r="AV266" s="27"/>
      <c r="AW266" s="5"/>
      <c r="AX266" s="5"/>
      <c r="AY266" s="5"/>
      <c r="AZ266" s="31"/>
      <c r="BA266" s="5"/>
      <c r="BB266" s="27"/>
      <c r="BC266" s="5"/>
      <c r="BD266" s="5"/>
      <c r="BE266" s="5"/>
      <c r="BF266" s="28"/>
    </row>
    <row r="267" spans="3:58" x14ac:dyDescent="0.25">
      <c r="C267" s="5"/>
      <c r="D267" s="27"/>
      <c r="E267" s="5"/>
      <c r="F267" s="27"/>
      <c r="G267" s="6"/>
      <c r="H267" s="5"/>
      <c r="I267" s="27"/>
      <c r="J267" s="5"/>
      <c r="K267" s="5"/>
      <c r="L267" s="31"/>
      <c r="M267" s="5"/>
      <c r="N267" s="27"/>
      <c r="O267" s="5"/>
      <c r="P267" s="5"/>
      <c r="Q267" s="31"/>
      <c r="R267" s="5"/>
      <c r="S267" s="27"/>
      <c r="T267" s="5"/>
      <c r="U267" s="5"/>
      <c r="V267" s="31"/>
      <c r="W267" s="5"/>
      <c r="X267" s="27"/>
      <c r="Y267" s="5"/>
      <c r="Z267" s="5"/>
      <c r="AA267" s="28"/>
      <c r="AB267" s="105"/>
      <c r="AC267" s="5"/>
      <c r="AD267" s="27"/>
      <c r="AE267" s="5"/>
      <c r="AF267" s="5"/>
      <c r="AG267" s="27"/>
      <c r="AH267" s="6"/>
      <c r="AI267" s="5"/>
      <c r="AJ267" s="27"/>
      <c r="AK267" s="5"/>
      <c r="AL267" s="5"/>
      <c r="AM267" s="5"/>
      <c r="AN267" s="31"/>
      <c r="AO267" s="5"/>
      <c r="AP267" s="27"/>
      <c r="AQ267" s="5"/>
      <c r="AR267" s="5"/>
      <c r="AS267" s="27"/>
      <c r="AT267" s="31"/>
      <c r="AU267" s="5"/>
      <c r="AV267" s="27"/>
      <c r="AW267" s="5"/>
      <c r="AX267" s="5"/>
      <c r="AY267" s="5"/>
      <c r="AZ267" s="31"/>
      <c r="BA267" s="5"/>
      <c r="BB267" s="27"/>
      <c r="BC267" s="5"/>
      <c r="BD267" s="5"/>
      <c r="BE267" s="5"/>
      <c r="BF267" s="28"/>
    </row>
    <row r="268" spans="3:58" x14ac:dyDescent="0.25">
      <c r="C268" s="5"/>
      <c r="D268" s="27"/>
      <c r="E268" s="5"/>
      <c r="F268" s="27"/>
      <c r="G268" s="6"/>
      <c r="H268" s="5"/>
      <c r="I268" s="27"/>
      <c r="J268" s="5"/>
      <c r="K268" s="5"/>
      <c r="L268" s="31"/>
      <c r="M268" s="5"/>
      <c r="N268" s="27"/>
      <c r="O268" s="5"/>
      <c r="P268" s="5"/>
      <c r="Q268" s="31"/>
      <c r="R268" s="5"/>
      <c r="S268" s="27"/>
      <c r="T268" s="5"/>
      <c r="U268" s="5"/>
      <c r="V268" s="31"/>
      <c r="W268" s="5"/>
      <c r="X268" s="27"/>
      <c r="Y268" s="5"/>
      <c r="Z268" s="5"/>
      <c r="AA268" s="28"/>
      <c r="AB268" s="105"/>
      <c r="AC268" s="5"/>
      <c r="AD268" s="27"/>
      <c r="AE268" s="5"/>
      <c r="AF268" s="5"/>
      <c r="AG268" s="27"/>
      <c r="AH268" s="6"/>
      <c r="AI268" s="5"/>
      <c r="AJ268" s="27"/>
      <c r="AK268" s="5"/>
      <c r="AL268" s="5"/>
      <c r="AM268" s="5"/>
      <c r="AN268" s="31"/>
      <c r="AO268" s="5"/>
      <c r="AP268" s="27"/>
      <c r="AQ268" s="5"/>
      <c r="AR268" s="5"/>
      <c r="AS268" s="27"/>
      <c r="AT268" s="31"/>
      <c r="AU268" s="5"/>
      <c r="AV268" s="27"/>
      <c r="AW268" s="5"/>
      <c r="AX268" s="5"/>
      <c r="AY268" s="5"/>
      <c r="AZ268" s="31"/>
      <c r="BA268" s="5"/>
      <c r="BB268" s="27"/>
      <c r="BC268" s="5"/>
      <c r="BD268" s="5"/>
      <c r="BE268" s="5"/>
      <c r="BF268" s="28"/>
    </row>
    <row r="269" spans="3:58" x14ac:dyDescent="0.25">
      <c r="C269" s="5"/>
      <c r="D269" s="27"/>
      <c r="E269" s="5"/>
      <c r="F269" s="27"/>
      <c r="G269" s="6"/>
      <c r="H269" s="5"/>
      <c r="I269" s="27"/>
      <c r="J269" s="5"/>
      <c r="K269" s="5"/>
      <c r="L269" s="31"/>
      <c r="M269" s="5"/>
      <c r="N269" s="27"/>
      <c r="O269" s="5"/>
      <c r="P269" s="5"/>
      <c r="Q269" s="31"/>
      <c r="R269" s="5"/>
      <c r="S269" s="27"/>
      <c r="T269" s="5"/>
      <c r="U269" s="5"/>
      <c r="V269" s="31"/>
      <c r="W269" s="5"/>
      <c r="X269" s="27"/>
      <c r="Y269" s="5"/>
      <c r="Z269" s="5"/>
      <c r="AA269" s="28"/>
      <c r="AB269" s="105"/>
      <c r="AC269" s="5"/>
      <c r="AD269" s="27"/>
      <c r="AE269" s="5"/>
      <c r="AF269" s="5"/>
      <c r="AG269" s="27"/>
      <c r="AH269" s="6"/>
      <c r="AI269" s="5"/>
      <c r="AJ269" s="27"/>
      <c r="AK269" s="5"/>
      <c r="AL269" s="5"/>
      <c r="AM269" s="5"/>
      <c r="AN269" s="31"/>
      <c r="AO269" s="5"/>
      <c r="AP269" s="27"/>
      <c r="AQ269" s="5"/>
      <c r="AR269" s="5"/>
      <c r="AS269" s="27"/>
      <c r="AT269" s="31"/>
      <c r="AU269" s="5"/>
      <c r="AV269" s="27"/>
      <c r="AW269" s="5"/>
      <c r="AX269" s="5"/>
      <c r="AY269" s="5"/>
      <c r="AZ269" s="31"/>
      <c r="BA269" s="5"/>
      <c r="BB269" s="27"/>
      <c r="BC269" s="5"/>
      <c r="BD269" s="5"/>
      <c r="BE269" s="5"/>
      <c r="BF269" s="28"/>
    </row>
    <row r="270" spans="3:58" x14ac:dyDescent="0.25">
      <c r="C270" s="5"/>
      <c r="D270" s="27"/>
      <c r="E270" s="5"/>
      <c r="F270" s="27"/>
      <c r="G270" s="6"/>
      <c r="H270" s="5"/>
      <c r="I270" s="27"/>
      <c r="J270" s="5"/>
      <c r="K270" s="5"/>
      <c r="L270" s="31"/>
      <c r="M270" s="5"/>
      <c r="N270" s="27"/>
      <c r="O270" s="5"/>
      <c r="P270" s="5"/>
      <c r="Q270" s="31"/>
      <c r="R270" s="5"/>
      <c r="S270" s="27"/>
      <c r="T270" s="5"/>
      <c r="U270" s="5"/>
      <c r="V270" s="31"/>
      <c r="W270" s="5"/>
      <c r="X270" s="27"/>
      <c r="Y270" s="5"/>
      <c r="Z270" s="5"/>
      <c r="AA270" s="28"/>
      <c r="AB270" s="105"/>
      <c r="AC270" s="5"/>
      <c r="AD270" s="27"/>
      <c r="AE270" s="5"/>
      <c r="AF270" s="5"/>
      <c r="AG270" s="27"/>
      <c r="AH270" s="6"/>
      <c r="AI270" s="5"/>
      <c r="AJ270" s="27"/>
      <c r="AK270" s="5"/>
      <c r="AL270" s="5"/>
      <c r="AM270" s="5"/>
      <c r="AN270" s="31"/>
      <c r="AO270" s="5"/>
      <c r="AP270" s="27"/>
      <c r="AQ270" s="5"/>
      <c r="AR270" s="5"/>
      <c r="AS270" s="27"/>
      <c r="AT270" s="31"/>
      <c r="AU270" s="5"/>
      <c r="AV270" s="27"/>
      <c r="AW270" s="5"/>
      <c r="AX270" s="5"/>
      <c r="AY270" s="5"/>
      <c r="AZ270" s="31"/>
      <c r="BA270" s="5"/>
      <c r="BB270" s="27"/>
      <c r="BC270" s="5"/>
      <c r="BD270" s="5"/>
      <c r="BE270" s="5"/>
      <c r="BF270" s="28"/>
    </row>
    <row r="271" spans="3:58" x14ac:dyDescent="0.25">
      <c r="C271" s="5"/>
      <c r="D271" s="27"/>
      <c r="E271" s="5"/>
      <c r="F271" s="27"/>
      <c r="G271" s="6"/>
      <c r="H271" s="5"/>
      <c r="I271" s="27"/>
      <c r="J271" s="5"/>
      <c r="K271" s="5"/>
      <c r="L271" s="31"/>
      <c r="M271" s="5"/>
      <c r="N271" s="27"/>
      <c r="O271" s="5"/>
      <c r="P271" s="5"/>
      <c r="Q271" s="31"/>
      <c r="R271" s="5"/>
      <c r="S271" s="27"/>
      <c r="T271" s="5"/>
      <c r="U271" s="5"/>
      <c r="V271" s="31"/>
      <c r="W271" s="5"/>
      <c r="X271" s="27"/>
      <c r="Y271" s="5"/>
      <c r="Z271" s="5"/>
      <c r="AA271" s="28"/>
      <c r="AB271" s="105"/>
      <c r="AC271" s="5"/>
      <c r="AD271" s="27"/>
      <c r="AE271" s="5"/>
      <c r="AF271" s="5"/>
      <c r="AG271" s="27"/>
      <c r="AH271" s="6"/>
      <c r="AI271" s="5"/>
      <c r="AJ271" s="27"/>
      <c r="AK271" s="5"/>
      <c r="AL271" s="5"/>
      <c r="AM271" s="5"/>
      <c r="AN271" s="31"/>
      <c r="AO271" s="5"/>
      <c r="AP271" s="27"/>
      <c r="AQ271" s="5"/>
      <c r="AR271" s="5"/>
      <c r="AS271" s="27"/>
      <c r="AT271" s="31"/>
      <c r="AU271" s="5"/>
      <c r="AV271" s="27"/>
      <c r="AW271" s="5"/>
      <c r="AX271" s="5"/>
      <c r="AY271" s="5"/>
      <c r="AZ271" s="31"/>
      <c r="BA271" s="5"/>
      <c r="BB271" s="27"/>
      <c r="BC271" s="5"/>
      <c r="BD271" s="5"/>
      <c r="BE271" s="5"/>
      <c r="BF271" s="28"/>
    </row>
    <row r="272" spans="3:58" x14ac:dyDescent="0.25">
      <c r="C272" s="5"/>
      <c r="D272" s="27"/>
      <c r="E272" s="5"/>
      <c r="F272" s="27"/>
      <c r="G272" s="6"/>
      <c r="H272" s="5"/>
      <c r="I272" s="27"/>
      <c r="J272" s="5"/>
      <c r="K272" s="5"/>
      <c r="L272" s="31"/>
      <c r="M272" s="5"/>
      <c r="N272" s="27"/>
      <c r="O272" s="5"/>
      <c r="P272" s="5"/>
      <c r="Q272" s="31"/>
      <c r="R272" s="5"/>
      <c r="S272" s="27"/>
      <c r="T272" s="5"/>
      <c r="U272" s="5"/>
      <c r="V272" s="31"/>
      <c r="W272" s="5"/>
      <c r="X272" s="27"/>
      <c r="Y272" s="5"/>
      <c r="Z272" s="5"/>
      <c r="AA272" s="28"/>
      <c r="AB272" s="105"/>
      <c r="AC272" s="5"/>
      <c r="AD272" s="27"/>
      <c r="AE272" s="5"/>
      <c r="AF272" s="5"/>
      <c r="AG272" s="27"/>
      <c r="AH272" s="6"/>
      <c r="AI272" s="5"/>
      <c r="AJ272" s="27"/>
      <c r="AK272" s="5"/>
      <c r="AL272" s="5"/>
      <c r="AM272" s="5"/>
      <c r="AN272" s="31"/>
      <c r="AO272" s="5"/>
      <c r="AP272" s="27"/>
      <c r="AQ272" s="5"/>
      <c r="AR272" s="5"/>
      <c r="AS272" s="27"/>
      <c r="AT272" s="31"/>
      <c r="AU272" s="5"/>
      <c r="AV272" s="27"/>
      <c r="AW272" s="5"/>
      <c r="AX272" s="5"/>
      <c r="AY272" s="5"/>
      <c r="AZ272" s="31"/>
      <c r="BA272" s="5"/>
      <c r="BB272" s="27"/>
      <c r="BC272" s="5"/>
      <c r="BD272" s="5"/>
      <c r="BE272" s="5"/>
      <c r="BF272" s="28"/>
    </row>
    <row r="273" spans="3:58" x14ac:dyDescent="0.25">
      <c r="C273" s="5"/>
      <c r="D273" s="27"/>
      <c r="E273" s="5"/>
      <c r="F273" s="27"/>
      <c r="G273" s="6"/>
      <c r="H273" s="5"/>
      <c r="I273" s="27"/>
      <c r="J273" s="5"/>
      <c r="K273" s="5"/>
      <c r="L273" s="31"/>
      <c r="M273" s="5"/>
      <c r="N273" s="27"/>
      <c r="O273" s="5"/>
      <c r="P273" s="5"/>
      <c r="Q273" s="31"/>
      <c r="R273" s="5"/>
      <c r="S273" s="27"/>
      <c r="T273" s="5"/>
      <c r="U273" s="5"/>
      <c r="V273" s="31"/>
      <c r="W273" s="5"/>
      <c r="X273" s="27"/>
      <c r="Y273" s="5"/>
      <c r="Z273" s="5"/>
      <c r="AA273" s="28"/>
      <c r="AB273" s="105"/>
      <c r="AC273" s="5"/>
      <c r="AD273" s="27"/>
      <c r="AE273" s="5"/>
      <c r="AF273" s="5"/>
      <c r="AG273" s="27"/>
      <c r="AH273" s="6"/>
      <c r="AI273" s="5"/>
      <c r="AJ273" s="27"/>
      <c r="AK273" s="5"/>
      <c r="AL273" s="5"/>
      <c r="AM273" s="5"/>
      <c r="AN273" s="31"/>
      <c r="AO273" s="5"/>
      <c r="AP273" s="27"/>
      <c r="AQ273" s="5"/>
      <c r="AR273" s="5"/>
      <c r="AS273" s="27"/>
      <c r="AT273" s="31"/>
      <c r="AU273" s="5"/>
      <c r="AV273" s="27"/>
      <c r="AW273" s="5"/>
      <c r="AX273" s="5"/>
      <c r="AY273" s="5"/>
      <c r="AZ273" s="31"/>
      <c r="BA273" s="5"/>
      <c r="BB273" s="27"/>
      <c r="BC273" s="5"/>
      <c r="BD273" s="5"/>
      <c r="BE273" s="5"/>
      <c r="BF273" s="28"/>
    </row>
    <row r="274" spans="3:58" x14ac:dyDescent="0.25">
      <c r="C274" s="5"/>
      <c r="D274" s="27"/>
      <c r="E274" s="5"/>
      <c r="F274" s="27"/>
      <c r="G274" s="6"/>
      <c r="H274" s="5"/>
      <c r="I274" s="27"/>
      <c r="J274" s="5"/>
      <c r="K274" s="5"/>
      <c r="L274" s="31"/>
      <c r="M274" s="5"/>
      <c r="N274" s="27"/>
      <c r="O274" s="5"/>
      <c r="P274" s="5"/>
      <c r="Q274" s="31"/>
      <c r="R274" s="5"/>
      <c r="S274" s="27"/>
      <c r="T274" s="5"/>
      <c r="U274" s="5"/>
      <c r="V274" s="31"/>
      <c r="W274" s="5"/>
      <c r="X274" s="27"/>
      <c r="Y274" s="5"/>
      <c r="Z274" s="5"/>
      <c r="AA274" s="28"/>
      <c r="AB274" s="105"/>
      <c r="AC274" s="5"/>
      <c r="AD274" s="27"/>
      <c r="AE274" s="5"/>
      <c r="AF274" s="5"/>
      <c r="AG274" s="27"/>
      <c r="AH274" s="6"/>
      <c r="AI274" s="5"/>
      <c r="AJ274" s="27"/>
      <c r="AK274" s="5"/>
      <c r="AL274" s="5"/>
      <c r="AM274" s="5"/>
      <c r="AN274" s="31"/>
      <c r="AO274" s="5"/>
      <c r="AP274" s="27"/>
      <c r="AQ274" s="5"/>
      <c r="AR274" s="5"/>
      <c r="AS274" s="27"/>
      <c r="AT274" s="31"/>
      <c r="AU274" s="5"/>
      <c r="AV274" s="27"/>
      <c r="AW274" s="5"/>
      <c r="AX274" s="5"/>
      <c r="AY274" s="5"/>
      <c r="AZ274" s="31"/>
      <c r="BA274" s="5"/>
      <c r="BB274" s="27"/>
      <c r="BC274" s="5"/>
      <c r="BD274" s="5"/>
      <c r="BE274" s="5"/>
      <c r="BF274" s="28"/>
    </row>
    <row r="275" spans="3:58" x14ac:dyDescent="0.25">
      <c r="C275" s="5"/>
      <c r="D275" s="27"/>
      <c r="E275" s="5"/>
      <c r="F275" s="27"/>
      <c r="G275" s="6"/>
      <c r="H275" s="5"/>
      <c r="I275" s="27"/>
      <c r="J275" s="5"/>
      <c r="K275" s="5"/>
      <c r="L275" s="31"/>
      <c r="M275" s="5"/>
      <c r="N275" s="27"/>
      <c r="O275" s="5"/>
      <c r="P275" s="5"/>
      <c r="Q275" s="31"/>
      <c r="R275" s="5"/>
      <c r="S275" s="27"/>
      <c r="T275" s="5"/>
      <c r="U275" s="5"/>
      <c r="V275" s="31"/>
      <c r="W275" s="5"/>
      <c r="X275" s="27"/>
      <c r="Y275" s="5"/>
      <c r="Z275" s="5"/>
      <c r="AA275" s="28"/>
      <c r="AB275" s="105"/>
      <c r="AC275" s="5"/>
      <c r="AD275" s="27"/>
      <c r="AE275" s="5"/>
      <c r="AF275" s="5"/>
      <c r="AG275" s="27"/>
      <c r="AH275" s="6"/>
      <c r="AI275" s="5"/>
      <c r="AJ275" s="27"/>
      <c r="AK275" s="5"/>
      <c r="AL275" s="5"/>
      <c r="AM275" s="5"/>
      <c r="AN275" s="31"/>
      <c r="AO275" s="5"/>
      <c r="AP275" s="27"/>
      <c r="AQ275" s="5"/>
      <c r="AR275" s="5"/>
      <c r="AS275" s="27"/>
      <c r="AT275" s="31"/>
      <c r="AU275" s="5"/>
      <c r="AV275" s="27"/>
      <c r="AW275" s="5"/>
      <c r="AX275" s="5"/>
      <c r="AY275" s="5"/>
      <c r="AZ275" s="31"/>
      <c r="BA275" s="5"/>
      <c r="BB275" s="27"/>
      <c r="BC275" s="5"/>
      <c r="BD275" s="5"/>
      <c r="BE275" s="5"/>
      <c r="BF275" s="28"/>
    </row>
    <row r="276" spans="3:58" x14ac:dyDescent="0.25">
      <c r="C276" s="5"/>
      <c r="D276" s="27"/>
      <c r="E276" s="5"/>
      <c r="F276" s="27"/>
      <c r="G276" s="6"/>
      <c r="H276" s="5"/>
      <c r="I276" s="27"/>
      <c r="J276" s="5"/>
      <c r="K276" s="5"/>
      <c r="L276" s="31"/>
      <c r="M276" s="5"/>
      <c r="N276" s="27"/>
      <c r="O276" s="5"/>
      <c r="P276" s="5"/>
      <c r="Q276" s="31"/>
      <c r="R276" s="5"/>
      <c r="S276" s="27"/>
      <c r="T276" s="5"/>
      <c r="U276" s="5"/>
      <c r="V276" s="31"/>
      <c r="W276" s="5"/>
      <c r="X276" s="27"/>
      <c r="Y276" s="5"/>
      <c r="Z276" s="5"/>
      <c r="AA276" s="28"/>
      <c r="AB276" s="105"/>
      <c r="AC276" s="5"/>
      <c r="AD276" s="27"/>
      <c r="AE276" s="5"/>
      <c r="AF276" s="5"/>
      <c r="AG276" s="27"/>
      <c r="AH276" s="6"/>
      <c r="AI276" s="5"/>
      <c r="AJ276" s="27"/>
      <c r="AK276" s="5"/>
      <c r="AL276" s="5"/>
      <c r="AM276" s="5"/>
      <c r="AN276" s="31"/>
      <c r="AO276" s="5"/>
      <c r="AP276" s="27"/>
      <c r="AQ276" s="5"/>
      <c r="AR276" s="5"/>
      <c r="AS276" s="27"/>
      <c r="AT276" s="31"/>
      <c r="AU276" s="5"/>
      <c r="AV276" s="27"/>
      <c r="AW276" s="5"/>
      <c r="AX276" s="5"/>
      <c r="AY276" s="5"/>
      <c r="AZ276" s="31"/>
      <c r="BA276" s="5"/>
      <c r="BB276" s="27"/>
      <c r="BC276" s="5"/>
      <c r="BD276" s="5"/>
      <c r="BE276" s="5"/>
      <c r="BF276" s="28"/>
    </row>
    <row r="277" spans="3:58" x14ac:dyDescent="0.25">
      <c r="C277" s="5"/>
      <c r="D277" s="27"/>
      <c r="E277" s="5"/>
      <c r="F277" s="27"/>
      <c r="G277" s="6"/>
      <c r="H277" s="5"/>
      <c r="I277" s="27"/>
      <c r="J277" s="5"/>
      <c r="K277" s="5"/>
      <c r="L277" s="31"/>
      <c r="M277" s="5"/>
      <c r="N277" s="27"/>
      <c r="O277" s="5"/>
      <c r="P277" s="5"/>
      <c r="Q277" s="31"/>
      <c r="R277" s="5"/>
      <c r="S277" s="27"/>
      <c r="T277" s="5"/>
      <c r="U277" s="5"/>
      <c r="V277" s="31"/>
      <c r="W277" s="5"/>
      <c r="X277" s="27"/>
      <c r="Y277" s="5"/>
      <c r="Z277" s="5"/>
      <c r="AA277" s="28"/>
      <c r="AB277" s="105"/>
      <c r="AC277" s="5"/>
      <c r="AD277" s="27"/>
      <c r="AE277" s="5"/>
      <c r="AF277" s="5"/>
      <c r="AG277" s="27"/>
      <c r="AH277" s="6"/>
      <c r="AI277" s="5"/>
      <c r="AJ277" s="27"/>
      <c r="AK277" s="5"/>
      <c r="AL277" s="5"/>
      <c r="AM277" s="5"/>
      <c r="AN277" s="31"/>
      <c r="AO277" s="5"/>
      <c r="AP277" s="27"/>
      <c r="AQ277" s="5"/>
      <c r="AR277" s="5"/>
      <c r="AS277" s="27"/>
      <c r="AT277" s="31"/>
      <c r="AU277" s="5"/>
      <c r="AV277" s="27"/>
      <c r="AW277" s="5"/>
      <c r="AX277" s="5"/>
      <c r="AY277" s="5"/>
      <c r="AZ277" s="31"/>
      <c r="BA277" s="5"/>
      <c r="BB277" s="27"/>
      <c r="BC277" s="5"/>
      <c r="BD277" s="5"/>
      <c r="BE277" s="5"/>
      <c r="BF277" s="28"/>
    </row>
    <row r="278" spans="3:58" x14ac:dyDescent="0.25">
      <c r="C278" s="5"/>
      <c r="D278" s="27"/>
      <c r="E278" s="5"/>
      <c r="F278" s="27"/>
      <c r="G278" s="6"/>
      <c r="H278" s="5"/>
      <c r="I278" s="27"/>
      <c r="J278" s="5"/>
      <c r="K278" s="5"/>
      <c r="L278" s="31"/>
      <c r="M278" s="5"/>
      <c r="N278" s="27"/>
      <c r="O278" s="5"/>
      <c r="P278" s="5"/>
      <c r="Q278" s="31"/>
      <c r="R278" s="5"/>
      <c r="S278" s="27"/>
      <c r="T278" s="5"/>
      <c r="U278" s="5"/>
      <c r="V278" s="31"/>
      <c r="W278" s="5"/>
      <c r="X278" s="27"/>
      <c r="Y278" s="5"/>
      <c r="Z278" s="5"/>
      <c r="AA278" s="28"/>
      <c r="AB278" s="105"/>
      <c r="AC278" s="5"/>
      <c r="AD278" s="27"/>
      <c r="AE278" s="5"/>
      <c r="AF278" s="5"/>
      <c r="AG278" s="27"/>
      <c r="AH278" s="6"/>
      <c r="AI278" s="5"/>
      <c r="AJ278" s="27"/>
      <c r="AK278" s="5"/>
      <c r="AL278" s="5"/>
      <c r="AM278" s="5"/>
      <c r="AN278" s="31"/>
      <c r="AO278" s="5"/>
      <c r="AP278" s="27"/>
      <c r="AQ278" s="5"/>
      <c r="AR278" s="5"/>
      <c r="AS278" s="27"/>
      <c r="AT278" s="31"/>
      <c r="AU278" s="5"/>
      <c r="AV278" s="27"/>
      <c r="AW278" s="5"/>
      <c r="AX278" s="5"/>
      <c r="AY278" s="5"/>
      <c r="AZ278" s="31"/>
      <c r="BA278" s="5"/>
      <c r="BB278" s="27"/>
      <c r="BC278" s="5"/>
      <c r="BD278" s="5"/>
      <c r="BE278" s="5"/>
      <c r="BF278" s="28"/>
    </row>
    <row r="279" spans="3:58" x14ac:dyDescent="0.25">
      <c r="C279" s="5"/>
      <c r="D279" s="27"/>
      <c r="E279" s="5"/>
      <c r="F279" s="27"/>
      <c r="G279" s="6"/>
      <c r="H279" s="5"/>
      <c r="I279" s="27"/>
      <c r="J279" s="5"/>
      <c r="K279" s="5"/>
      <c r="L279" s="31"/>
      <c r="M279" s="5"/>
      <c r="N279" s="27"/>
      <c r="O279" s="5"/>
      <c r="P279" s="5"/>
      <c r="Q279" s="31"/>
      <c r="R279" s="5"/>
      <c r="S279" s="27"/>
      <c r="T279" s="5"/>
      <c r="U279" s="5"/>
      <c r="V279" s="31"/>
      <c r="W279" s="5"/>
      <c r="X279" s="27"/>
      <c r="Y279" s="5"/>
      <c r="Z279" s="5"/>
      <c r="AA279" s="28"/>
      <c r="AB279" s="105"/>
      <c r="AC279" s="5"/>
      <c r="AD279" s="27"/>
      <c r="AE279" s="5"/>
      <c r="AF279" s="5"/>
      <c r="AG279" s="27"/>
      <c r="AH279" s="6"/>
      <c r="AI279" s="5"/>
      <c r="AJ279" s="27"/>
      <c r="AK279" s="5"/>
      <c r="AL279" s="5"/>
      <c r="AM279" s="5"/>
      <c r="AN279" s="31"/>
      <c r="AO279" s="5"/>
      <c r="AP279" s="27"/>
      <c r="AQ279" s="5"/>
      <c r="AR279" s="5"/>
      <c r="AS279" s="27"/>
      <c r="AT279" s="31"/>
      <c r="AU279" s="5"/>
      <c r="AV279" s="27"/>
      <c r="AW279" s="5"/>
      <c r="AX279" s="5"/>
      <c r="AY279" s="5"/>
      <c r="AZ279" s="31"/>
      <c r="BA279" s="5"/>
      <c r="BB279" s="27"/>
      <c r="BC279" s="5"/>
      <c r="BD279" s="5"/>
      <c r="BE279" s="5"/>
      <c r="BF279" s="28"/>
    </row>
    <row r="280" spans="3:58" x14ac:dyDescent="0.25">
      <c r="C280" s="5"/>
      <c r="D280" s="27"/>
      <c r="E280" s="5"/>
      <c r="F280" s="27"/>
      <c r="G280" s="6"/>
      <c r="H280" s="5"/>
      <c r="I280" s="27"/>
      <c r="J280" s="5"/>
      <c r="K280" s="5"/>
      <c r="L280" s="31"/>
      <c r="M280" s="5"/>
      <c r="N280" s="27"/>
      <c r="O280" s="5"/>
      <c r="P280" s="5"/>
      <c r="Q280" s="31"/>
      <c r="R280" s="5"/>
      <c r="S280" s="27"/>
      <c r="T280" s="5"/>
      <c r="U280" s="5"/>
      <c r="V280" s="31"/>
      <c r="W280" s="5"/>
      <c r="X280" s="27"/>
      <c r="Y280" s="5"/>
      <c r="Z280" s="5"/>
      <c r="AA280" s="28"/>
      <c r="AB280" s="105"/>
      <c r="AC280" s="5"/>
      <c r="AD280" s="27"/>
      <c r="AE280" s="5"/>
      <c r="AF280" s="5"/>
      <c r="AG280" s="27"/>
      <c r="AH280" s="6"/>
      <c r="AI280" s="5"/>
      <c r="AJ280" s="27"/>
      <c r="AK280" s="5"/>
      <c r="AL280" s="5"/>
      <c r="AM280" s="5"/>
      <c r="AN280" s="31"/>
      <c r="AO280" s="5"/>
      <c r="AP280" s="27"/>
      <c r="AQ280" s="5"/>
      <c r="AR280" s="5"/>
      <c r="AS280" s="27"/>
      <c r="AT280" s="31"/>
      <c r="AU280" s="5"/>
      <c r="AV280" s="27"/>
      <c r="AW280" s="5"/>
      <c r="AX280" s="5"/>
      <c r="AY280" s="5"/>
      <c r="AZ280" s="31"/>
      <c r="BA280" s="5"/>
      <c r="BB280" s="27"/>
      <c r="BC280" s="5"/>
      <c r="BD280" s="5"/>
      <c r="BE280" s="5"/>
      <c r="BF280" s="28"/>
    </row>
    <row r="281" spans="3:58" x14ac:dyDescent="0.25">
      <c r="C281" s="5"/>
      <c r="D281" s="27"/>
      <c r="E281" s="5"/>
      <c r="F281" s="27"/>
      <c r="G281" s="6"/>
      <c r="H281" s="5"/>
      <c r="I281" s="27"/>
      <c r="J281" s="5"/>
      <c r="K281" s="5"/>
      <c r="L281" s="31"/>
      <c r="M281" s="5"/>
      <c r="N281" s="27"/>
      <c r="O281" s="5"/>
      <c r="P281" s="5"/>
      <c r="Q281" s="31"/>
      <c r="R281" s="5"/>
      <c r="S281" s="27"/>
      <c r="T281" s="5"/>
      <c r="U281" s="5"/>
      <c r="V281" s="31"/>
      <c r="W281" s="5"/>
      <c r="X281" s="27"/>
      <c r="Y281" s="5"/>
      <c r="Z281" s="5"/>
      <c r="AA281" s="28"/>
      <c r="AB281" s="105"/>
      <c r="AC281" s="5"/>
      <c r="AD281" s="27"/>
      <c r="AE281" s="5"/>
      <c r="AF281" s="5"/>
      <c r="AG281" s="27"/>
      <c r="AH281" s="6"/>
      <c r="AI281" s="5"/>
      <c r="AJ281" s="27"/>
      <c r="AK281" s="5"/>
      <c r="AL281" s="5"/>
      <c r="AM281" s="5"/>
      <c r="AN281" s="31"/>
      <c r="AO281" s="5"/>
      <c r="AP281" s="27"/>
      <c r="AQ281" s="5"/>
      <c r="AR281" s="5"/>
      <c r="AS281" s="27"/>
      <c r="AT281" s="31"/>
      <c r="AU281" s="5"/>
      <c r="AV281" s="27"/>
      <c r="AW281" s="5"/>
      <c r="AX281" s="5"/>
      <c r="AY281" s="5"/>
      <c r="AZ281" s="31"/>
      <c r="BA281" s="5"/>
      <c r="BB281" s="27"/>
      <c r="BC281" s="5"/>
      <c r="BD281" s="5"/>
      <c r="BE281" s="5"/>
      <c r="BF281" s="28"/>
    </row>
    <row r="282" spans="3:58" x14ac:dyDescent="0.25">
      <c r="C282" s="5"/>
      <c r="D282" s="27"/>
      <c r="E282" s="5"/>
      <c r="F282" s="27"/>
      <c r="G282" s="6"/>
      <c r="H282" s="5"/>
      <c r="I282" s="27"/>
      <c r="J282" s="5"/>
      <c r="K282" s="5"/>
      <c r="L282" s="31"/>
      <c r="M282" s="5"/>
      <c r="N282" s="27"/>
      <c r="O282" s="5"/>
      <c r="P282" s="5"/>
      <c r="Q282" s="31"/>
      <c r="R282" s="5"/>
      <c r="S282" s="27"/>
      <c r="T282" s="5"/>
      <c r="U282" s="5"/>
      <c r="V282" s="31"/>
      <c r="W282" s="5"/>
      <c r="X282" s="27"/>
      <c r="Y282" s="5"/>
      <c r="Z282" s="5"/>
      <c r="AA282" s="28"/>
      <c r="AB282" s="105"/>
      <c r="AC282" s="5"/>
      <c r="AD282" s="27"/>
      <c r="AE282" s="5"/>
      <c r="AF282" s="5"/>
      <c r="AG282" s="27"/>
      <c r="AH282" s="6"/>
      <c r="AI282" s="5"/>
      <c r="AJ282" s="27"/>
      <c r="AK282" s="5"/>
      <c r="AL282" s="5"/>
      <c r="AM282" s="5"/>
      <c r="AN282" s="31"/>
      <c r="AO282" s="5"/>
      <c r="AP282" s="27"/>
      <c r="AQ282" s="5"/>
      <c r="AR282" s="5"/>
      <c r="AS282" s="27"/>
      <c r="AT282" s="31"/>
      <c r="AU282" s="5"/>
      <c r="AV282" s="27"/>
      <c r="AW282" s="5"/>
      <c r="AX282" s="5"/>
      <c r="AY282" s="5"/>
      <c r="AZ282" s="31"/>
      <c r="BA282" s="5"/>
      <c r="BB282" s="27"/>
      <c r="BC282" s="5"/>
      <c r="BD282" s="5"/>
      <c r="BE282" s="5"/>
      <c r="BF282" s="28"/>
    </row>
    <row r="283" spans="3:58" x14ac:dyDescent="0.25">
      <c r="C283" s="5"/>
      <c r="D283" s="27"/>
      <c r="E283" s="5"/>
      <c r="F283" s="27"/>
      <c r="G283" s="6"/>
      <c r="H283" s="5"/>
      <c r="I283" s="27"/>
      <c r="J283" s="5"/>
      <c r="K283" s="5"/>
      <c r="L283" s="31"/>
      <c r="M283" s="5"/>
      <c r="N283" s="27"/>
      <c r="O283" s="5"/>
      <c r="P283" s="5"/>
      <c r="Q283" s="31"/>
      <c r="R283" s="5"/>
      <c r="S283" s="27"/>
      <c r="T283" s="5"/>
      <c r="U283" s="5"/>
      <c r="V283" s="31"/>
      <c r="W283" s="5"/>
      <c r="X283" s="27"/>
      <c r="Y283" s="5"/>
      <c r="Z283" s="5"/>
      <c r="AA283" s="28"/>
      <c r="AB283" s="105"/>
      <c r="AC283" s="5"/>
      <c r="AD283" s="27"/>
      <c r="AE283" s="5"/>
      <c r="AF283" s="5"/>
      <c r="AG283" s="27"/>
      <c r="AH283" s="6"/>
      <c r="AI283" s="5"/>
      <c r="AJ283" s="27"/>
      <c r="AK283" s="5"/>
      <c r="AL283" s="5"/>
      <c r="AM283" s="5"/>
      <c r="AN283" s="31"/>
      <c r="AO283" s="5"/>
      <c r="AP283" s="27"/>
      <c r="AQ283" s="5"/>
      <c r="AR283" s="5"/>
      <c r="AS283" s="27"/>
      <c r="AT283" s="31"/>
      <c r="AU283" s="5"/>
      <c r="AV283" s="27"/>
      <c r="AW283" s="5"/>
      <c r="AX283" s="5"/>
      <c r="AY283" s="5"/>
      <c r="AZ283" s="31"/>
      <c r="BA283" s="5"/>
      <c r="BB283" s="27"/>
      <c r="BC283" s="5"/>
      <c r="BD283" s="5"/>
      <c r="BE283" s="5"/>
      <c r="BF283" s="28"/>
    </row>
    <row r="284" spans="3:58" x14ac:dyDescent="0.25">
      <c r="C284" s="5"/>
      <c r="D284" s="27"/>
      <c r="E284" s="5"/>
      <c r="F284" s="27"/>
      <c r="G284" s="6"/>
      <c r="H284" s="5"/>
      <c r="I284" s="27"/>
      <c r="J284" s="5"/>
      <c r="K284" s="5"/>
      <c r="L284" s="31"/>
      <c r="M284" s="5"/>
      <c r="N284" s="27"/>
      <c r="O284" s="5"/>
      <c r="P284" s="5"/>
      <c r="Q284" s="31"/>
      <c r="R284" s="5"/>
      <c r="S284" s="27"/>
      <c r="T284" s="5"/>
      <c r="U284" s="5"/>
      <c r="V284" s="31"/>
      <c r="W284" s="5"/>
      <c r="X284" s="27"/>
      <c r="Y284" s="5"/>
      <c r="Z284" s="5"/>
      <c r="AA284" s="28"/>
      <c r="AB284" s="105"/>
      <c r="AC284" s="5"/>
      <c r="AD284" s="27"/>
      <c r="AE284" s="5"/>
      <c r="AF284" s="5"/>
      <c r="AG284" s="27"/>
      <c r="AH284" s="6"/>
      <c r="AI284" s="5"/>
      <c r="AJ284" s="27"/>
      <c r="AK284" s="5"/>
      <c r="AL284" s="5"/>
      <c r="AM284" s="5"/>
      <c r="AN284" s="31"/>
      <c r="AO284" s="5"/>
      <c r="AP284" s="27"/>
      <c r="AQ284" s="5"/>
      <c r="AR284" s="5"/>
      <c r="AS284" s="27"/>
      <c r="AT284" s="31"/>
      <c r="AU284" s="5"/>
      <c r="AV284" s="27"/>
      <c r="AW284" s="5"/>
      <c r="AX284" s="5"/>
      <c r="AY284" s="5"/>
      <c r="AZ284" s="31"/>
      <c r="BA284" s="5"/>
      <c r="BB284" s="27"/>
      <c r="BC284" s="5"/>
      <c r="BD284" s="5"/>
      <c r="BE284" s="5"/>
      <c r="BF284" s="28"/>
    </row>
    <row r="285" spans="3:58" x14ac:dyDescent="0.25">
      <c r="C285" s="5"/>
      <c r="D285" s="27"/>
      <c r="E285" s="5"/>
      <c r="F285" s="27"/>
      <c r="G285" s="6"/>
      <c r="H285" s="5"/>
      <c r="I285" s="27"/>
      <c r="J285" s="5"/>
      <c r="K285" s="5"/>
      <c r="L285" s="31"/>
      <c r="M285" s="5"/>
      <c r="N285" s="27"/>
      <c r="O285" s="5"/>
      <c r="P285" s="5"/>
      <c r="Q285" s="31"/>
      <c r="R285" s="5"/>
      <c r="S285" s="27"/>
      <c r="T285" s="5"/>
      <c r="U285" s="5"/>
      <c r="V285" s="31"/>
      <c r="W285" s="5"/>
      <c r="X285" s="27"/>
      <c r="Y285" s="5"/>
      <c r="Z285" s="5"/>
      <c r="AA285" s="28"/>
      <c r="AB285" s="105"/>
      <c r="AC285" s="5"/>
      <c r="AD285" s="27"/>
      <c r="AE285" s="5"/>
      <c r="AF285" s="5"/>
      <c r="AG285" s="27"/>
      <c r="AH285" s="6"/>
      <c r="AI285" s="5"/>
      <c r="AJ285" s="27"/>
      <c r="AK285" s="5"/>
      <c r="AL285" s="5"/>
      <c r="AM285" s="5"/>
      <c r="AN285" s="31"/>
      <c r="AO285" s="5"/>
      <c r="AP285" s="27"/>
      <c r="AQ285" s="5"/>
      <c r="AR285" s="5"/>
      <c r="AS285" s="27"/>
      <c r="AT285" s="31"/>
      <c r="AU285" s="5"/>
      <c r="AV285" s="27"/>
      <c r="AW285" s="5"/>
      <c r="AX285" s="5"/>
      <c r="AY285" s="5"/>
      <c r="AZ285" s="31"/>
      <c r="BA285" s="5"/>
      <c r="BB285" s="27"/>
      <c r="BC285" s="5"/>
      <c r="BD285" s="5"/>
      <c r="BE285" s="5"/>
      <c r="BF285" s="28"/>
    </row>
    <row r="286" spans="3:58" x14ac:dyDescent="0.25">
      <c r="C286" s="5"/>
      <c r="D286" s="27"/>
      <c r="E286" s="5"/>
      <c r="F286" s="27"/>
      <c r="G286" s="6"/>
      <c r="H286" s="5"/>
      <c r="I286" s="27"/>
      <c r="J286" s="5"/>
      <c r="K286" s="5"/>
      <c r="L286" s="31"/>
      <c r="M286" s="5"/>
      <c r="N286" s="27"/>
      <c r="O286" s="5"/>
      <c r="P286" s="5"/>
      <c r="Q286" s="31"/>
      <c r="R286" s="5"/>
      <c r="S286" s="27"/>
      <c r="T286" s="5"/>
      <c r="U286" s="5"/>
      <c r="V286" s="31"/>
      <c r="W286" s="5"/>
      <c r="X286" s="27"/>
      <c r="Y286" s="5"/>
      <c r="Z286" s="5"/>
      <c r="AA286" s="28"/>
      <c r="AB286" s="105"/>
      <c r="AC286" s="5"/>
      <c r="AD286" s="27"/>
      <c r="AE286" s="5"/>
      <c r="AF286" s="5"/>
      <c r="AG286" s="27"/>
      <c r="AH286" s="6"/>
      <c r="AI286" s="5"/>
      <c r="AJ286" s="27"/>
      <c r="AK286" s="5"/>
      <c r="AL286" s="5"/>
      <c r="AM286" s="5"/>
      <c r="AN286" s="31"/>
      <c r="AO286" s="5"/>
      <c r="AP286" s="27"/>
      <c r="AQ286" s="5"/>
      <c r="AR286" s="5"/>
      <c r="AS286" s="27"/>
      <c r="AT286" s="31"/>
      <c r="AU286" s="5"/>
      <c r="AV286" s="27"/>
      <c r="AW286" s="5"/>
      <c r="AX286" s="5"/>
      <c r="AY286" s="5"/>
      <c r="AZ286" s="31"/>
      <c r="BA286" s="5"/>
      <c r="BB286" s="27"/>
      <c r="BC286" s="5"/>
      <c r="BD286" s="5"/>
      <c r="BE286" s="5"/>
      <c r="BF286" s="28"/>
    </row>
    <row r="287" spans="3:58" x14ac:dyDescent="0.25">
      <c r="C287" s="5"/>
      <c r="D287" s="27"/>
      <c r="E287" s="5"/>
      <c r="F287" s="27"/>
      <c r="G287" s="6"/>
      <c r="H287" s="5"/>
      <c r="I287" s="27"/>
      <c r="J287" s="5"/>
      <c r="K287" s="5"/>
      <c r="L287" s="31"/>
      <c r="M287" s="5"/>
      <c r="N287" s="27"/>
      <c r="O287" s="5"/>
      <c r="P287" s="5"/>
      <c r="Q287" s="31"/>
      <c r="R287" s="5"/>
      <c r="S287" s="27"/>
      <c r="T287" s="5"/>
      <c r="U287" s="5"/>
      <c r="V287" s="31"/>
      <c r="W287" s="5"/>
      <c r="X287" s="27"/>
      <c r="Y287" s="5"/>
      <c r="Z287" s="5"/>
      <c r="AA287" s="28"/>
      <c r="AB287" s="105"/>
      <c r="AC287" s="5"/>
      <c r="AD287" s="27"/>
      <c r="AE287" s="5"/>
      <c r="AF287" s="5"/>
      <c r="AG287" s="27"/>
      <c r="AH287" s="6"/>
      <c r="AI287" s="5"/>
      <c r="AJ287" s="27"/>
      <c r="AK287" s="5"/>
      <c r="AL287" s="5"/>
      <c r="AM287" s="5"/>
      <c r="AN287" s="31"/>
      <c r="AO287" s="5"/>
      <c r="AP287" s="27"/>
      <c r="AQ287" s="5"/>
      <c r="AR287" s="5"/>
      <c r="AS287" s="27"/>
      <c r="AT287" s="31"/>
      <c r="AU287" s="5"/>
      <c r="AV287" s="27"/>
      <c r="AW287" s="5"/>
      <c r="AX287" s="5"/>
      <c r="AY287" s="5"/>
      <c r="AZ287" s="31"/>
      <c r="BA287" s="5"/>
      <c r="BB287" s="27"/>
      <c r="BC287" s="5"/>
      <c r="BD287" s="5"/>
      <c r="BE287" s="5"/>
      <c r="BF287" s="28"/>
    </row>
    <row r="288" spans="3:58" x14ac:dyDescent="0.25">
      <c r="C288" s="5"/>
      <c r="D288" s="27"/>
      <c r="E288" s="5"/>
      <c r="F288" s="27"/>
      <c r="G288" s="6"/>
      <c r="H288" s="5"/>
      <c r="I288" s="27"/>
      <c r="J288" s="5"/>
      <c r="K288" s="5"/>
      <c r="L288" s="31"/>
      <c r="M288" s="5"/>
      <c r="N288" s="27"/>
      <c r="O288" s="5"/>
      <c r="P288" s="5"/>
      <c r="Q288" s="31"/>
      <c r="R288" s="5"/>
      <c r="S288" s="27"/>
      <c r="T288" s="5"/>
      <c r="U288" s="5"/>
      <c r="V288" s="31"/>
      <c r="W288" s="5"/>
      <c r="X288" s="27"/>
      <c r="Y288" s="5"/>
      <c r="Z288" s="5"/>
      <c r="AA288" s="28"/>
      <c r="AB288" s="105"/>
      <c r="AC288" s="5"/>
      <c r="AD288" s="27"/>
      <c r="AE288" s="5"/>
      <c r="AF288" s="5"/>
      <c r="AG288" s="27"/>
      <c r="AH288" s="6"/>
      <c r="AI288" s="5"/>
      <c r="AJ288" s="27"/>
      <c r="AK288" s="5"/>
      <c r="AL288" s="5"/>
      <c r="AM288" s="5"/>
      <c r="AN288" s="31"/>
      <c r="AO288" s="5"/>
      <c r="AP288" s="27"/>
      <c r="AQ288" s="5"/>
      <c r="AR288" s="5"/>
      <c r="AS288" s="27"/>
      <c r="AT288" s="31"/>
      <c r="AU288" s="5"/>
      <c r="AV288" s="27"/>
      <c r="AW288" s="5"/>
      <c r="AX288" s="5"/>
      <c r="AY288" s="5"/>
      <c r="AZ288" s="31"/>
      <c r="BA288" s="5"/>
      <c r="BB288" s="27"/>
      <c r="BC288" s="5"/>
      <c r="BD288" s="5"/>
      <c r="BE288" s="5"/>
      <c r="BF288" s="28"/>
    </row>
    <row r="289" spans="3:58" x14ac:dyDescent="0.25">
      <c r="C289" s="5"/>
      <c r="D289" s="27"/>
      <c r="E289" s="5"/>
      <c r="F289" s="27"/>
      <c r="G289" s="6"/>
      <c r="H289" s="5"/>
      <c r="I289" s="27"/>
      <c r="J289" s="5"/>
      <c r="K289" s="5"/>
      <c r="L289" s="31"/>
      <c r="M289" s="5"/>
      <c r="N289" s="27"/>
      <c r="O289" s="5"/>
      <c r="P289" s="5"/>
      <c r="Q289" s="31"/>
      <c r="R289" s="5"/>
      <c r="S289" s="27"/>
      <c r="T289" s="5"/>
      <c r="U289" s="5"/>
      <c r="V289" s="31"/>
      <c r="W289" s="5"/>
      <c r="X289" s="27"/>
      <c r="Y289" s="5"/>
      <c r="Z289" s="5"/>
      <c r="AA289" s="28"/>
      <c r="AB289" s="105"/>
      <c r="AC289" s="5"/>
      <c r="AD289" s="27"/>
      <c r="AE289" s="5"/>
      <c r="AF289" s="5"/>
      <c r="AG289" s="27"/>
      <c r="AH289" s="6"/>
      <c r="AI289" s="5"/>
      <c r="AJ289" s="27"/>
      <c r="AK289" s="5"/>
      <c r="AL289" s="5"/>
      <c r="AM289" s="5"/>
      <c r="AN289" s="31"/>
      <c r="AO289" s="5"/>
      <c r="AP289" s="27"/>
      <c r="AQ289" s="5"/>
      <c r="AR289" s="5"/>
      <c r="AS289" s="27"/>
      <c r="AT289" s="31"/>
      <c r="AU289" s="5"/>
      <c r="AV289" s="27"/>
      <c r="AW289" s="5"/>
      <c r="AX289" s="5"/>
      <c r="AY289" s="5"/>
      <c r="AZ289" s="31"/>
      <c r="BA289" s="5"/>
      <c r="BB289" s="27"/>
      <c r="BC289" s="5"/>
      <c r="BD289" s="5"/>
      <c r="BE289" s="5"/>
      <c r="BF289" s="28"/>
    </row>
    <row r="290" spans="3:58" x14ac:dyDescent="0.25">
      <c r="C290" s="5"/>
      <c r="D290" s="27"/>
      <c r="E290" s="5"/>
      <c r="F290" s="27"/>
      <c r="G290" s="6"/>
      <c r="H290" s="5"/>
      <c r="I290" s="27"/>
      <c r="J290" s="5"/>
      <c r="K290" s="5"/>
      <c r="L290" s="31"/>
      <c r="M290" s="5"/>
      <c r="N290" s="27"/>
      <c r="O290" s="5"/>
      <c r="P290" s="5"/>
      <c r="Q290" s="31"/>
      <c r="R290" s="5"/>
      <c r="S290" s="27"/>
      <c r="T290" s="5"/>
      <c r="U290" s="5"/>
      <c r="V290" s="31"/>
      <c r="W290" s="5"/>
      <c r="X290" s="27"/>
      <c r="Y290" s="5"/>
      <c r="Z290" s="5"/>
      <c r="AA290" s="28"/>
      <c r="AB290" s="105"/>
      <c r="AC290" s="5"/>
      <c r="AD290" s="27"/>
      <c r="AE290" s="5"/>
      <c r="AF290" s="5"/>
      <c r="AG290" s="27"/>
      <c r="AH290" s="6"/>
      <c r="AI290" s="5"/>
      <c r="AJ290" s="27"/>
      <c r="AK290" s="5"/>
      <c r="AL290" s="5"/>
      <c r="AM290" s="5"/>
      <c r="AN290" s="31"/>
      <c r="AO290" s="5"/>
      <c r="AP290" s="27"/>
      <c r="AQ290" s="5"/>
      <c r="AR290" s="5"/>
      <c r="AS290" s="27"/>
      <c r="AT290" s="31"/>
      <c r="AU290" s="5"/>
      <c r="AV290" s="27"/>
      <c r="AW290" s="5"/>
      <c r="AX290" s="5"/>
      <c r="AY290" s="5"/>
      <c r="AZ290" s="31"/>
      <c r="BA290" s="5"/>
      <c r="BB290" s="27"/>
      <c r="BC290" s="5"/>
      <c r="BD290" s="5"/>
      <c r="BE290" s="5"/>
      <c r="BF290" s="28"/>
    </row>
    <row r="291" spans="3:58" x14ac:dyDescent="0.25">
      <c r="C291" s="5"/>
      <c r="D291" s="27"/>
      <c r="E291" s="5"/>
      <c r="F291" s="27"/>
      <c r="G291" s="6"/>
      <c r="H291" s="5"/>
      <c r="I291" s="27"/>
      <c r="J291" s="5"/>
      <c r="K291" s="5"/>
      <c r="L291" s="31"/>
      <c r="M291" s="5"/>
      <c r="N291" s="27"/>
      <c r="O291" s="5"/>
      <c r="P291" s="5"/>
      <c r="Q291" s="31"/>
      <c r="R291" s="5"/>
      <c r="S291" s="27"/>
      <c r="T291" s="5"/>
      <c r="U291" s="5"/>
      <c r="V291" s="31"/>
      <c r="W291" s="5"/>
      <c r="X291" s="27"/>
      <c r="Y291" s="5"/>
      <c r="Z291" s="5"/>
      <c r="AA291" s="28"/>
      <c r="AB291" s="105"/>
      <c r="AC291" s="5"/>
      <c r="AD291" s="27"/>
      <c r="AE291" s="5"/>
      <c r="AF291" s="5"/>
      <c r="AG291" s="27"/>
      <c r="AH291" s="6"/>
      <c r="AI291" s="5"/>
      <c r="AJ291" s="27"/>
      <c r="AK291" s="5"/>
      <c r="AL291" s="5"/>
      <c r="AM291" s="5"/>
      <c r="AN291" s="31"/>
      <c r="AO291" s="5"/>
      <c r="AP291" s="27"/>
      <c r="AQ291" s="5"/>
      <c r="AR291" s="5"/>
      <c r="AS291" s="27"/>
      <c r="AT291" s="31"/>
      <c r="AU291" s="5"/>
      <c r="AV291" s="27"/>
      <c r="AW291" s="5"/>
      <c r="AX291" s="5"/>
      <c r="AY291" s="5"/>
      <c r="AZ291" s="31"/>
      <c r="BA291" s="5"/>
      <c r="BB291" s="27"/>
      <c r="BC291" s="5"/>
      <c r="BD291" s="5"/>
      <c r="BE291" s="5"/>
      <c r="BF291" s="28"/>
    </row>
    <row r="292" spans="3:58" x14ac:dyDescent="0.25">
      <c r="C292" s="5"/>
      <c r="D292" s="27"/>
      <c r="E292" s="5"/>
      <c r="F292" s="27"/>
      <c r="G292" s="6"/>
      <c r="H292" s="5"/>
      <c r="I292" s="27"/>
      <c r="J292" s="5"/>
      <c r="K292" s="5"/>
      <c r="L292" s="31"/>
      <c r="M292" s="5"/>
      <c r="N292" s="27"/>
      <c r="O292" s="5"/>
      <c r="P292" s="5"/>
      <c r="Q292" s="31"/>
      <c r="R292" s="5"/>
      <c r="S292" s="27"/>
      <c r="T292" s="5"/>
      <c r="U292" s="5"/>
      <c r="V292" s="31"/>
      <c r="W292" s="5"/>
      <c r="X292" s="27"/>
      <c r="Y292" s="5"/>
      <c r="Z292" s="5"/>
      <c r="AA292" s="28"/>
      <c r="AB292" s="105"/>
      <c r="AC292" s="5"/>
      <c r="AD292" s="27"/>
      <c r="AE292" s="5"/>
      <c r="AF292" s="5"/>
      <c r="AG292" s="27"/>
      <c r="AH292" s="6"/>
      <c r="AI292" s="5"/>
      <c r="AJ292" s="27"/>
      <c r="AK292" s="5"/>
      <c r="AL292" s="5"/>
      <c r="AM292" s="5"/>
      <c r="AN292" s="31"/>
      <c r="AO292" s="5"/>
      <c r="AP292" s="27"/>
      <c r="AQ292" s="5"/>
      <c r="AR292" s="5"/>
      <c r="AS292" s="27"/>
      <c r="AT292" s="31"/>
      <c r="AU292" s="5"/>
      <c r="AV292" s="27"/>
      <c r="AW292" s="5"/>
      <c r="AX292" s="5"/>
      <c r="AY292" s="5"/>
      <c r="AZ292" s="31"/>
      <c r="BA292" s="5"/>
      <c r="BB292" s="27"/>
      <c r="BC292" s="5"/>
      <c r="BD292" s="5"/>
      <c r="BE292" s="5"/>
      <c r="BF292" s="28"/>
    </row>
    <row r="293" spans="3:58" x14ac:dyDescent="0.25">
      <c r="C293" s="5"/>
      <c r="D293" s="27"/>
      <c r="E293" s="5"/>
      <c r="F293" s="27"/>
      <c r="G293" s="6"/>
      <c r="H293" s="5"/>
      <c r="I293" s="27"/>
      <c r="J293" s="5"/>
      <c r="K293" s="5"/>
      <c r="L293" s="31"/>
      <c r="M293" s="5"/>
      <c r="N293" s="27"/>
      <c r="O293" s="5"/>
      <c r="P293" s="5"/>
      <c r="Q293" s="31"/>
      <c r="R293" s="5"/>
      <c r="S293" s="27"/>
      <c r="T293" s="5"/>
      <c r="U293" s="5"/>
      <c r="V293" s="31"/>
      <c r="W293" s="5"/>
      <c r="X293" s="27"/>
      <c r="Y293" s="5"/>
      <c r="Z293" s="5"/>
      <c r="AA293" s="28"/>
      <c r="AB293" s="105"/>
      <c r="AC293" s="5"/>
      <c r="AD293" s="27"/>
      <c r="AE293" s="5"/>
      <c r="AF293" s="5"/>
      <c r="AG293" s="27"/>
      <c r="AH293" s="6"/>
      <c r="AI293" s="5"/>
      <c r="AJ293" s="27"/>
      <c r="AK293" s="5"/>
      <c r="AL293" s="5"/>
      <c r="AM293" s="5"/>
      <c r="AN293" s="31"/>
      <c r="AO293" s="5"/>
      <c r="AP293" s="27"/>
      <c r="AQ293" s="5"/>
      <c r="AR293" s="5"/>
      <c r="AS293" s="27"/>
      <c r="AT293" s="31"/>
      <c r="AU293" s="5"/>
      <c r="AV293" s="27"/>
      <c r="AW293" s="5"/>
      <c r="AX293" s="5"/>
      <c r="AY293" s="5"/>
      <c r="AZ293" s="31"/>
      <c r="BA293" s="5"/>
      <c r="BB293" s="27"/>
      <c r="BC293" s="5"/>
      <c r="BD293" s="5"/>
      <c r="BE293" s="5"/>
      <c r="BF293" s="28"/>
    </row>
    <row r="294" spans="3:58" x14ac:dyDescent="0.25">
      <c r="C294" s="5"/>
      <c r="D294" s="27"/>
      <c r="E294" s="5"/>
      <c r="F294" s="27"/>
      <c r="G294" s="6"/>
      <c r="H294" s="5"/>
      <c r="I294" s="27"/>
      <c r="J294" s="5"/>
      <c r="K294" s="5"/>
      <c r="L294" s="31"/>
      <c r="M294" s="5"/>
      <c r="N294" s="27"/>
      <c r="O294" s="5"/>
      <c r="P294" s="5"/>
      <c r="Q294" s="31"/>
      <c r="R294" s="5"/>
      <c r="S294" s="27"/>
      <c r="T294" s="5"/>
      <c r="U294" s="5"/>
      <c r="V294" s="31"/>
      <c r="W294" s="5"/>
      <c r="X294" s="27"/>
      <c r="Y294" s="5"/>
      <c r="Z294" s="5"/>
      <c r="AA294" s="28"/>
      <c r="AB294" s="105"/>
      <c r="AC294" s="5"/>
      <c r="AD294" s="27"/>
      <c r="AE294" s="5"/>
      <c r="AF294" s="5"/>
      <c r="AG294" s="27"/>
      <c r="AH294" s="6"/>
      <c r="AI294" s="5"/>
      <c r="AJ294" s="27"/>
      <c r="AK294" s="5"/>
      <c r="AL294" s="5"/>
      <c r="AM294" s="5"/>
      <c r="AN294" s="31"/>
      <c r="AO294" s="5"/>
      <c r="AP294" s="27"/>
      <c r="AQ294" s="5"/>
      <c r="AR294" s="5"/>
      <c r="AS294" s="27"/>
      <c r="AT294" s="31"/>
      <c r="AU294" s="5"/>
      <c r="AV294" s="27"/>
      <c r="AW294" s="5"/>
      <c r="AX294" s="5"/>
      <c r="AY294" s="5"/>
      <c r="AZ294" s="31"/>
      <c r="BA294" s="5"/>
      <c r="BB294" s="27"/>
      <c r="BC294" s="5"/>
      <c r="BD294" s="5"/>
      <c r="BE294" s="5"/>
      <c r="BF294" s="28"/>
    </row>
    <row r="295" spans="3:58" x14ac:dyDescent="0.25">
      <c r="C295" s="5"/>
      <c r="D295" s="27"/>
      <c r="E295" s="5"/>
      <c r="F295" s="27"/>
      <c r="G295" s="6"/>
      <c r="H295" s="5"/>
      <c r="I295" s="27"/>
      <c r="J295" s="5"/>
      <c r="K295" s="5"/>
      <c r="L295" s="31"/>
      <c r="M295" s="5"/>
      <c r="N295" s="27"/>
      <c r="O295" s="5"/>
      <c r="P295" s="5"/>
      <c r="Q295" s="31"/>
      <c r="R295" s="5"/>
      <c r="S295" s="27"/>
      <c r="T295" s="5"/>
      <c r="U295" s="5"/>
      <c r="V295" s="31"/>
      <c r="W295" s="5"/>
      <c r="X295" s="27"/>
      <c r="Y295" s="5"/>
      <c r="Z295" s="5"/>
      <c r="AA295" s="28"/>
      <c r="AB295" s="105"/>
      <c r="AC295" s="5"/>
      <c r="AD295" s="27"/>
      <c r="AE295" s="5"/>
      <c r="AF295" s="5"/>
      <c r="AG295" s="27"/>
      <c r="AH295" s="6"/>
      <c r="AI295" s="5"/>
      <c r="AJ295" s="27"/>
      <c r="AK295" s="5"/>
      <c r="AL295" s="5"/>
      <c r="AM295" s="5"/>
      <c r="AN295" s="31"/>
      <c r="AO295" s="5"/>
      <c r="AP295" s="27"/>
      <c r="AQ295" s="5"/>
      <c r="AR295" s="5"/>
      <c r="AS295" s="27"/>
      <c r="AT295" s="31"/>
      <c r="AU295" s="5"/>
      <c r="AV295" s="27"/>
      <c r="AW295" s="5"/>
      <c r="AX295" s="5"/>
      <c r="AY295" s="5"/>
      <c r="AZ295" s="31"/>
      <c r="BA295" s="5"/>
      <c r="BB295" s="27"/>
      <c r="BC295" s="5"/>
      <c r="BD295" s="5"/>
      <c r="BE295" s="5"/>
      <c r="BF295" s="28"/>
    </row>
    <row r="296" spans="3:58" x14ac:dyDescent="0.25">
      <c r="C296" s="5"/>
      <c r="D296" s="27"/>
      <c r="E296" s="5"/>
      <c r="F296" s="27"/>
      <c r="G296" s="6"/>
      <c r="H296" s="5"/>
      <c r="I296" s="27"/>
      <c r="J296" s="5"/>
      <c r="K296" s="5"/>
      <c r="L296" s="31"/>
      <c r="M296" s="5"/>
      <c r="N296" s="27"/>
      <c r="O296" s="5"/>
      <c r="P296" s="5"/>
      <c r="Q296" s="31"/>
      <c r="R296" s="5"/>
      <c r="S296" s="27"/>
      <c r="T296" s="5"/>
      <c r="U296" s="5"/>
      <c r="V296" s="31"/>
      <c r="W296" s="5"/>
      <c r="X296" s="27"/>
      <c r="Y296" s="5"/>
      <c r="Z296" s="5"/>
      <c r="AA296" s="28"/>
      <c r="AB296" s="105"/>
      <c r="AC296" s="5"/>
      <c r="AD296" s="27"/>
      <c r="AE296" s="5"/>
      <c r="AF296" s="5"/>
      <c r="AG296" s="27"/>
      <c r="AH296" s="6"/>
      <c r="AI296" s="5"/>
      <c r="AJ296" s="27"/>
      <c r="AK296" s="5"/>
      <c r="AL296" s="5"/>
      <c r="AM296" s="5"/>
      <c r="AN296" s="31"/>
      <c r="AO296" s="5"/>
      <c r="AP296" s="27"/>
      <c r="AQ296" s="5"/>
      <c r="AR296" s="5"/>
      <c r="AS296" s="27"/>
      <c r="AT296" s="31"/>
      <c r="AU296" s="5"/>
      <c r="AV296" s="27"/>
      <c r="AW296" s="5"/>
      <c r="AX296" s="5"/>
      <c r="AY296" s="5"/>
      <c r="AZ296" s="31"/>
      <c r="BA296" s="5"/>
      <c r="BB296" s="27"/>
      <c r="BC296" s="5"/>
      <c r="BD296" s="5"/>
      <c r="BE296" s="5"/>
      <c r="BF296" s="28"/>
    </row>
    <row r="297" spans="3:58" x14ac:dyDescent="0.25">
      <c r="C297" s="5"/>
      <c r="D297" s="27"/>
      <c r="E297" s="5"/>
      <c r="F297" s="27"/>
      <c r="G297" s="6"/>
      <c r="H297" s="5"/>
      <c r="I297" s="27"/>
      <c r="J297" s="5"/>
      <c r="K297" s="5"/>
      <c r="L297" s="31"/>
      <c r="M297" s="5"/>
      <c r="N297" s="27"/>
      <c r="O297" s="5"/>
      <c r="P297" s="5"/>
      <c r="Q297" s="31"/>
      <c r="R297" s="5"/>
      <c r="S297" s="27"/>
      <c r="T297" s="5"/>
      <c r="U297" s="5"/>
      <c r="V297" s="31"/>
      <c r="W297" s="5"/>
      <c r="X297" s="27"/>
      <c r="Y297" s="5"/>
      <c r="Z297" s="5"/>
      <c r="AA297" s="28"/>
      <c r="AB297" s="105"/>
      <c r="AC297" s="5"/>
      <c r="AD297" s="27"/>
      <c r="AE297" s="5"/>
      <c r="AF297" s="5"/>
      <c r="AG297" s="27"/>
      <c r="AH297" s="6"/>
      <c r="AI297" s="5"/>
      <c r="AJ297" s="27"/>
      <c r="AK297" s="5"/>
      <c r="AL297" s="5"/>
      <c r="AM297" s="5"/>
      <c r="AN297" s="31"/>
      <c r="AO297" s="5"/>
      <c r="AP297" s="27"/>
      <c r="AQ297" s="5"/>
      <c r="AR297" s="5"/>
      <c r="AS297" s="27"/>
      <c r="AT297" s="31"/>
      <c r="AU297" s="5"/>
      <c r="AV297" s="27"/>
      <c r="AW297" s="5"/>
      <c r="AX297" s="5"/>
      <c r="AY297" s="5"/>
      <c r="AZ297" s="31"/>
      <c r="BA297" s="5"/>
      <c r="BB297" s="27"/>
      <c r="BC297" s="5"/>
      <c r="BD297" s="5"/>
      <c r="BE297" s="5"/>
      <c r="BF297" s="28"/>
    </row>
    <row r="298" spans="3:58" x14ac:dyDescent="0.25">
      <c r="C298" s="5"/>
      <c r="D298" s="27"/>
      <c r="E298" s="5"/>
      <c r="F298" s="27"/>
      <c r="G298" s="6"/>
      <c r="H298" s="5"/>
      <c r="I298" s="27"/>
      <c r="J298" s="5"/>
      <c r="K298" s="5"/>
      <c r="L298" s="31"/>
      <c r="M298" s="5"/>
      <c r="N298" s="27"/>
      <c r="O298" s="5"/>
      <c r="P298" s="5"/>
      <c r="Q298" s="31"/>
      <c r="R298" s="5"/>
      <c r="S298" s="27"/>
      <c r="T298" s="5"/>
      <c r="U298" s="5"/>
      <c r="V298" s="31"/>
      <c r="W298" s="5"/>
      <c r="X298" s="27"/>
      <c r="Y298" s="5"/>
      <c r="Z298" s="5"/>
      <c r="AA298" s="28"/>
      <c r="AB298" s="105"/>
      <c r="AC298" s="5"/>
      <c r="AD298" s="27"/>
      <c r="AE298" s="5"/>
      <c r="AF298" s="5"/>
      <c r="AG298" s="27"/>
      <c r="AH298" s="6"/>
      <c r="AI298" s="5"/>
      <c r="AJ298" s="27"/>
      <c r="AK298" s="5"/>
      <c r="AL298" s="5"/>
      <c r="AM298" s="5"/>
      <c r="AN298" s="31"/>
      <c r="AO298" s="5"/>
      <c r="AP298" s="27"/>
      <c r="AQ298" s="5"/>
      <c r="AR298" s="5"/>
      <c r="AS298" s="27"/>
      <c r="AT298" s="31"/>
      <c r="AU298" s="5"/>
      <c r="AV298" s="27"/>
      <c r="AW298" s="5"/>
      <c r="AX298" s="5"/>
      <c r="AY298" s="5"/>
      <c r="AZ298" s="31"/>
      <c r="BA298" s="5"/>
      <c r="BB298" s="27"/>
      <c r="BC298" s="5"/>
      <c r="BD298" s="5"/>
      <c r="BE298" s="5"/>
      <c r="BF298" s="28"/>
    </row>
    <row r="299" spans="3:58" x14ac:dyDescent="0.25">
      <c r="C299" s="5"/>
      <c r="D299" s="27"/>
      <c r="E299" s="5"/>
      <c r="F299" s="27"/>
      <c r="G299" s="6"/>
      <c r="H299" s="5"/>
      <c r="I299" s="27"/>
      <c r="J299" s="5"/>
      <c r="K299" s="5"/>
      <c r="L299" s="31"/>
      <c r="M299" s="5"/>
      <c r="N299" s="27"/>
      <c r="O299" s="5"/>
      <c r="P299" s="5"/>
      <c r="Q299" s="31"/>
      <c r="R299" s="5"/>
      <c r="S299" s="27"/>
      <c r="T299" s="5"/>
      <c r="U299" s="5"/>
      <c r="V299" s="31"/>
      <c r="W299" s="5"/>
      <c r="X299" s="27"/>
      <c r="Y299" s="5"/>
      <c r="Z299" s="5"/>
      <c r="AA299" s="28"/>
      <c r="AB299" s="105"/>
      <c r="AC299" s="5"/>
      <c r="AD299" s="27"/>
      <c r="AE299" s="5"/>
      <c r="AF299" s="5"/>
      <c r="AG299" s="27"/>
      <c r="AH299" s="6"/>
      <c r="AI299" s="5"/>
      <c r="AJ299" s="27"/>
      <c r="AK299" s="5"/>
      <c r="AL299" s="5"/>
      <c r="AM299" s="5"/>
      <c r="AN299" s="31"/>
      <c r="AO299" s="5"/>
      <c r="AP299" s="27"/>
      <c r="AQ299" s="5"/>
      <c r="AR299" s="5"/>
      <c r="AS299" s="27"/>
      <c r="AT299" s="31"/>
      <c r="AU299" s="5"/>
      <c r="AV299" s="27"/>
      <c r="AW299" s="5"/>
      <c r="AX299" s="5"/>
      <c r="AY299" s="5"/>
      <c r="AZ299" s="31"/>
      <c r="BA299" s="5"/>
      <c r="BB299" s="27"/>
      <c r="BC299" s="5"/>
      <c r="BD299" s="5"/>
      <c r="BE299" s="5"/>
      <c r="BF299" s="28"/>
    </row>
    <row r="300" spans="3:58" x14ac:dyDescent="0.25">
      <c r="C300" s="5"/>
      <c r="D300" s="27"/>
      <c r="E300" s="5"/>
      <c r="F300" s="27"/>
      <c r="G300" s="6"/>
      <c r="H300" s="5"/>
      <c r="I300" s="27"/>
      <c r="J300" s="5"/>
      <c r="K300" s="5"/>
      <c r="L300" s="31"/>
      <c r="M300" s="5"/>
      <c r="N300" s="27"/>
      <c r="O300" s="5"/>
      <c r="P300" s="5"/>
      <c r="Q300" s="31"/>
      <c r="R300" s="5"/>
      <c r="S300" s="27"/>
      <c r="T300" s="5"/>
      <c r="U300" s="5"/>
      <c r="V300" s="31"/>
      <c r="W300" s="5"/>
      <c r="X300" s="27"/>
      <c r="Y300" s="5"/>
      <c r="Z300" s="5"/>
      <c r="AA300" s="28"/>
      <c r="AB300" s="105"/>
      <c r="AC300" s="5"/>
      <c r="AD300" s="27"/>
      <c r="AE300" s="5"/>
      <c r="AF300" s="5"/>
      <c r="AG300" s="27"/>
      <c r="AH300" s="6"/>
      <c r="AI300" s="5"/>
      <c r="AJ300" s="27"/>
      <c r="AK300" s="5"/>
      <c r="AL300" s="5"/>
      <c r="AM300" s="5"/>
      <c r="AN300" s="31"/>
      <c r="AO300" s="5"/>
      <c r="AP300" s="27"/>
      <c r="AQ300" s="5"/>
      <c r="AR300" s="5"/>
      <c r="AS300" s="27"/>
      <c r="AT300" s="31"/>
      <c r="AU300" s="5"/>
      <c r="AV300" s="27"/>
      <c r="AW300" s="5"/>
      <c r="AX300" s="5"/>
      <c r="AY300" s="5"/>
      <c r="AZ300" s="31"/>
      <c r="BA300" s="5"/>
      <c r="BB300" s="27"/>
      <c r="BC300" s="5"/>
      <c r="BD300" s="5"/>
      <c r="BE300" s="5"/>
      <c r="BF300" s="28"/>
    </row>
    <row r="301" spans="3:58" x14ac:dyDescent="0.25">
      <c r="C301" s="5"/>
      <c r="D301" s="27"/>
      <c r="E301" s="5"/>
      <c r="F301" s="27"/>
      <c r="G301" s="6"/>
      <c r="H301" s="5"/>
      <c r="I301" s="27"/>
      <c r="J301" s="5"/>
      <c r="K301" s="5"/>
      <c r="L301" s="31"/>
      <c r="M301" s="5"/>
      <c r="N301" s="27"/>
      <c r="O301" s="5"/>
      <c r="P301" s="5"/>
      <c r="Q301" s="31"/>
      <c r="R301" s="5"/>
      <c r="S301" s="27"/>
      <c r="T301" s="5"/>
      <c r="U301" s="5"/>
      <c r="V301" s="31"/>
      <c r="W301" s="5"/>
      <c r="X301" s="27"/>
      <c r="Y301" s="5"/>
      <c r="Z301" s="5"/>
      <c r="AA301" s="28"/>
      <c r="AB301" s="105"/>
      <c r="AC301" s="5"/>
      <c r="AD301" s="27"/>
      <c r="AE301" s="5"/>
      <c r="AF301" s="5"/>
      <c r="AG301" s="27"/>
      <c r="AH301" s="6"/>
      <c r="AI301" s="5"/>
      <c r="AJ301" s="27"/>
      <c r="AK301" s="5"/>
      <c r="AL301" s="5"/>
      <c r="AM301" s="5"/>
      <c r="AN301" s="31"/>
      <c r="AO301" s="5"/>
      <c r="AP301" s="27"/>
      <c r="AQ301" s="5"/>
      <c r="AR301" s="5"/>
      <c r="AS301" s="27"/>
      <c r="AT301" s="31"/>
      <c r="AU301" s="5"/>
      <c r="AV301" s="27"/>
      <c r="AW301" s="5"/>
      <c r="AX301" s="5"/>
      <c r="AY301" s="5"/>
      <c r="AZ301" s="31"/>
      <c r="BA301" s="5"/>
      <c r="BB301" s="27"/>
      <c r="BC301" s="5"/>
      <c r="BD301" s="5"/>
      <c r="BE301" s="5"/>
      <c r="BF301" s="28"/>
    </row>
    <row r="302" spans="3:58" x14ac:dyDescent="0.25">
      <c r="C302" s="5"/>
      <c r="D302" s="27"/>
      <c r="E302" s="5"/>
      <c r="F302" s="27"/>
      <c r="G302" s="6"/>
      <c r="H302" s="5"/>
      <c r="I302" s="27"/>
      <c r="J302" s="5"/>
      <c r="K302" s="5"/>
      <c r="L302" s="31"/>
      <c r="M302" s="5"/>
      <c r="N302" s="27"/>
      <c r="O302" s="5"/>
      <c r="P302" s="5"/>
      <c r="Q302" s="31"/>
      <c r="R302" s="5"/>
      <c r="S302" s="27"/>
      <c r="T302" s="5"/>
      <c r="U302" s="5"/>
      <c r="V302" s="31"/>
      <c r="W302" s="5"/>
      <c r="X302" s="27"/>
      <c r="Y302" s="5"/>
      <c r="Z302" s="5"/>
      <c r="AA302" s="28"/>
      <c r="AB302" s="105"/>
      <c r="AC302" s="5"/>
      <c r="AD302" s="27"/>
      <c r="AE302" s="5"/>
      <c r="AF302" s="5"/>
      <c r="AG302" s="27"/>
      <c r="AH302" s="6"/>
      <c r="AI302" s="5"/>
      <c r="AJ302" s="27"/>
      <c r="AK302" s="5"/>
      <c r="AL302" s="5"/>
      <c r="AM302" s="5"/>
      <c r="AN302" s="31"/>
      <c r="AO302" s="5"/>
      <c r="AP302" s="27"/>
      <c r="AQ302" s="5"/>
      <c r="AR302" s="5"/>
      <c r="AS302" s="27"/>
      <c r="AT302" s="31"/>
      <c r="AU302" s="5"/>
      <c r="AV302" s="27"/>
      <c r="AW302" s="5"/>
      <c r="AX302" s="5"/>
      <c r="AY302" s="5"/>
      <c r="AZ302" s="31"/>
      <c r="BA302" s="5"/>
      <c r="BB302" s="27"/>
      <c r="BC302" s="5"/>
      <c r="BD302" s="5"/>
      <c r="BE302" s="5"/>
      <c r="BF302" s="28"/>
    </row>
    <row r="303" spans="3:58" x14ac:dyDescent="0.25">
      <c r="C303" s="5"/>
      <c r="D303" s="27"/>
      <c r="E303" s="5"/>
      <c r="F303" s="27"/>
      <c r="G303" s="6"/>
      <c r="H303" s="5"/>
      <c r="I303" s="27"/>
      <c r="J303" s="5"/>
      <c r="K303" s="5"/>
      <c r="L303" s="31"/>
      <c r="M303" s="5"/>
      <c r="N303" s="27"/>
      <c r="O303" s="5"/>
      <c r="P303" s="5"/>
      <c r="Q303" s="31"/>
      <c r="R303" s="5"/>
      <c r="S303" s="27"/>
      <c r="T303" s="5"/>
      <c r="U303" s="5"/>
      <c r="V303" s="31"/>
      <c r="W303" s="5"/>
      <c r="X303" s="27"/>
      <c r="Y303" s="5"/>
      <c r="Z303" s="5"/>
      <c r="AA303" s="28"/>
      <c r="AB303" s="105"/>
      <c r="AC303" s="5"/>
      <c r="AD303" s="27"/>
      <c r="AE303" s="5"/>
      <c r="AF303" s="5"/>
      <c r="AG303" s="27"/>
      <c r="AH303" s="6"/>
      <c r="AI303" s="5"/>
      <c r="AJ303" s="27"/>
      <c r="AK303" s="5"/>
      <c r="AL303" s="5"/>
      <c r="AM303" s="5"/>
      <c r="AN303" s="31"/>
      <c r="AO303" s="5"/>
      <c r="AP303" s="27"/>
      <c r="AQ303" s="5"/>
      <c r="AR303" s="5"/>
      <c r="AS303" s="27"/>
      <c r="AT303" s="31"/>
      <c r="AU303" s="5"/>
      <c r="AV303" s="27"/>
      <c r="AW303" s="5"/>
      <c r="AX303" s="5"/>
      <c r="AY303" s="5"/>
      <c r="AZ303" s="31"/>
      <c r="BA303" s="5"/>
      <c r="BB303" s="27"/>
      <c r="BC303" s="5"/>
      <c r="BD303" s="5"/>
      <c r="BE303" s="5"/>
      <c r="BF303" s="28"/>
    </row>
    <row r="304" spans="3:58" x14ac:dyDescent="0.25">
      <c r="C304" s="5"/>
      <c r="D304" s="27"/>
      <c r="E304" s="5"/>
      <c r="F304" s="27"/>
      <c r="G304" s="6"/>
      <c r="H304" s="5"/>
      <c r="I304" s="27"/>
      <c r="J304" s="5"/>
      <c r="K304" s="5"/>
      <c r="L304" s="31"/>
      <c r="M304" s="5"/>
      <c r="N304" s="27"/>
      <c r="O304" s="5"/>
      <c r="P304" s="5"/>
      <c r="Q304" s="31"/>
      <c r="R304" s="5"/>
      <c r="S304" s="27"/>
      <c r="T304" s="5"/>
      <c r="U304" s="5"/>
      <c r="V304" s="31"/>
      <c r="W304" s="5"/>
      <c r="X304" s="27"/>
      <c r="Y304" s="5"/>
      <c r="Z304" s="5"/>
      <c r="AA304" s="28"/>
      <c r="AB304" s="105"/>
      <c r="AC304" s="5"/>
      <c r="AD304" s="27"/>
      <c r="AE304" s="5"/>
      <c r="AF304" s="5"/>
      <c r="AG304" s="27"/>
      <c r="AH304" s="6"/>
      <c r="AI304" s="5"/>
      <c r="AJ304" s="27"/>
      <c r="AK304" s="5"/>
      <c r="AL304" s="5"/>
      <c r="AM304" s="5"/>
      <c r="AN304" s="31"/>
      <c r="AO304" s="5"/>
      <c r="AP304" s="27"/>
      <c r="AQ304" s="5"/>
      <c r="AR304" s="5"/>
      <c r="AS304" s="27"/>
      <c r="AT304" s="31"/>
      <c r="AU304" s="5"/>
      <c r="AV304" s="27"/>
      <c r="AW304" s="5"/>
      <c r="AX304" s="5"/>
      <c r="AY304" s="5"/>
      <c r="AZ304" s="31"/>
      <c r="BA304" s="5"/>
      <c r="BB304" s="27"/>
      <c r="BC304" s="5"/>
      <c r="BD304" s="5"/>
      <c r="BE304" s="5"/>
      <c r="BF304" s="28"/>
    </row>
    <row r="305" spans="3:58" x14ac:dyDescent="0.25">
      <c r="C305" s="5"/>
      <c r="D305" s="27"/>
      <c r="E305" s="5"/>
      <c r="F305" s="27"/>
      <c r="G305" s="6"/>
      <c r="H305" s="5"/>
      <c r="I305" s="27"/>
      <c r="J305" s="5"/>
      <c r="K305" s="5"/>
      <c r="L305" s="31"/>
      <c r="M305" s="5"/>
      <c r="N305" s="27"/>
      <c r="O305" s="5"/>
      <c r="P305" s="5"/>
      <c r="Q305" s="31"/>
      <c r="R305" s="5"/>
      <c r="S305" s="27"/>
      <c r="T305" s="5"/>
      <c r="U305" s="5"/>
      <c r="V305" s="31"/>
      <c r="W305" s="5"/>
      <c r="X305" s="27"/>
      <c r="Y305" s="5"/>
      <c r="Z305" s="5"/>
      <c r="AA305" s="28"/>
      <c r="AB305" s="105"/>
      <c r="AC305" s="5"/>
      <c r="AD305" s="27"/>
      <c r="AE305" s="5"/>
      <c r="AF305" s="5"/>
      <c r="AG305" s="27"/>
      <c r="AH305" s="6"/>
      <c r="AI305" s="5"/>
      <c r="AJ305" s="27"/>
      <c r="AK305" s="5"/>
      <c r="AL305" s="5"/>
      <c r="AM305" s="5"/>
      <c r="AN305" s="31"/>
      <c r="AO305" s="5"/>
      <c r="AP305" s="27"/>
      <c r="AQ305" s="5"/>
      <c r="AR305" s="5"/>
      <c r="AS305" s="27"/>
      <c r="AT305" s="31"/>
      <c r="AU305" s="5"/>
      <c r="AV305" s="27"/>
      <c r="AW305" s="5"/>
      <c r="AX305" s="5"/>
      <c r="AY305" s="5"/>
      <c r="AZ305" s="31"/>
      <c r="BA305" s="5"/>
      <c r="BB305" s="27"/>
      <c r="BC305" s="5"/>
      <c r="BD305" s="5"/>
      <c r="BE305" s="5"/>
      <c r="BF305" s="28"/>
    </row>
    <row r="306" spans="3:58" x14ac:dyDescent="0.25">
      <c r="C306" s="5"/>
      <c r="D306" s="27"/>
      <c r="E306" s="5"/>
      <c r="F306" s="27"/>
      <c r="G306" s="6"/>
      <c r="H306" s="5"/>
      <c r="I306" s="27"/>
      <c r="J306" s="5"/>
      <c r="K306" s="5"/>
      <c r="L306" s="31"/>
      <c r="M306" s="5"/>
      <c r="N306" s="27"/>
      <c r="O306" s="5"/>
      <c r="P306" s="5"/>
      <c r="Q306" s="31"/>
      <c r="R306" s="5"/>
      <c r="S306" s="27"/>
      <c r="T306" s="5"/>
      <c r="U306" s="5"/>
      <c r="V306" s="31"/>
      <c r="W306" s="5"/>
      <c r="X306" s="27"/>
      <c r="Y306" s="5"/>
      <c r="Z306" s="5"/>
      <c r="AA306" s="28"/>
      <c r="AB306" s="105"/>
      <c r="AC306" s="5"/>
      <c r="AD306" s="27"/>
      <c r="AE306" s="5"/>
      <c r="AF306" s="5"/>
      <c r="AG306" s="27"/>
      <c r="AH306" s="6"/>
      <c r="AI306" s="5"/>
      <c r="AJ306" s="27"/>
      <c r="AK306" s="5"/>
      <c r="AL306" s="5"/>
      <c r="AM306" s="5"/>
      <c r="AN306" s="31"/>
      <c r="AO306" s="5"/>
      <c r="AP306" s="27"/>
      <c r="AQ306" s="5"/>
      <c r="AR306" s="5"/>
      <c r="AS306" s="27"/>
      <c r="AT306" s="31"/>
      <c r="AU306" s="5"/>
      <c r="AV306" s="27"/>
      <c r="AW306" s="5"/>
      <c r="AX306" s="5"/>
      <c r="AY306" s="5"/>
      <c r="AZ306" s="31"/>
      <c r="BA306" s="5"/>
      <c r="BB306" s="27"/>
      <c r="BC306" s="5"/>
      <c r="BD306" s="5"/>
      <c r="BE306" s="5"/>
      <c r="BF306" s="28"/>
    </row>
    <row r="307" spans="3:58" x14ac:dyDescent="0.25">
      <c r="C307" s="5"/>
      <c r="D307" s="27"/>
      <c r="E307" s="5"/>
      <c r="F307" s="27"/>
      <c r="G307" s="6"/>
      <c r="H307" s="5"/>
      <c r="I307" s="27"/>
      <c r="J307" s="5"/>
      <c r="K307" s="5"/>
      <c r="L307" s="31"/>
      <c r="M307" s="5"/>
      <c r="N307" s="27"/>
      <c r="O307" s="5"/>
      <c r="P307" s="5"/>
      <c r="Q307" s="31"/>
      <c r="R307" s="5"/>
      <c r="S307" s="27"/>
      <c r="T307" s="5"/>
      <c r="U307" s="5"/>
      <c r="V307" s="31"/>
      <c r="W307" s="5"/>
      <c r="X307" s="27"/>
      <c r="Y307" s="5"/>
      <c r="Z307" s="5"/>
      <c r="AA307" s="28"/>
      <c r="AB307" s="105"/>
      <c r="AC307" s="5"/>
      <c r="AD307" s="27"/>
      <c r="AE307" s="5"/>
      <c r="AF307" s="5"/>
      <c r="AG307" s="27"/>
      <c r="AH307" s="6"/>
      <c r="AI307" s="5"/>
      <c r="AJ307" s="27"/>
      <c r="AK307" s="5"/>
      <c r="AL307" s="5"/>
      <c r="AM307" s="5"/>
      <c r="AN307" s="31"/>
      <c r="AO307" s="5"/>
      <c r="AP307" s="27"/>
      <c r="AQ307" s="5"/>
      <c r="AR307" s="5"/>
      <c r="AS307" s="27"/>
      <c r="AT307" s="31"/>
      <c r="AU307" s="5"/>
      <c r="AV307" s="27"/>
      <c r="AW307" s="5"/>
      <c r="AX307" s="5"/>
      <c r="AY307" s="5"/>
      <c r="AZ307" s="31"/>
      <c r="BA307" s="5"/>
      <c r="BB307" s="27"/>
      <c r="BC307" s="5"/>
      <c r="BD307" s="5"/>
      <c r="BE307" s="5"/>
      <c r="BF307" s="28"/>
    </row>
    <row r="308" spans="3:58" x14ac:dyDescent="0.25">
      <c r="C308" s="5"/>
      <c r="D308" s="27"/>
      <c r="E308" s="5"/>
      <c r="F308" s="27"/>
      <c r="G308" s="6"/>
      <c r="H308" s="5"/>
      <c r="I308" s="27"/>
      <c r="J308" s="5"/>
      <c r="K308" s="5"/>
      <c r="L308" s="31"/>
      <c r="M308" s="5"/>
      <c r="N308" s="27"/>
      <c r="O308" s="5"/>
      <c r="P308" s="5"/>
      <c r="Q308" s="31"/>
      <c r="R308" s="5"/>
      <c r="S308" s="27"/>
      <c r="T308" s="5"/>
      <c r="U308" s="5"/>
      <c r="V308" s="31"/>
      <c r="W308" s="5"/>
      <c r="X308" s="27"/>
      <c r="Y308" s="5"/>
      <c r="Z308" s="5"/>
      <c r="AA308" s="28"/>
      <c r="AB308" s="105"/>
      <c r="AC308" s="5"/>
      <c r="AD308" s="27"/>
      <c r="AE308" s="5"/>
      <c r="AF308" s="5"/>
      <c r="AG308" s="27"/>
      <c r="AH308" s="6"/>
      <c r="AI308" s="5"/>
      <c r="AJ308" s="27"/>
      <c r="AK308" s="5"/>
      <c r="AL308" s="5"/>
      <c r="AM308" s="5"/>
      <c r="AN308" s="31"/>
      <c r="AO308" s="5"/>
      <c r="AP308" s="27"/>
      <c r="AQ308" s="5"/>
      <c r="AR308" s="5"/>
      <c r="AS308" s="27"/>
      <c r="AT308" s="31"/>
      <c r="AU308" s="5"/>
      <c r="AV308" s="27"/>
      <c r="AW308" s="5"/>
      <c r="AX308" s="5"/>
      <c r="AY308" s="5"/>
      <c r="AZ308" s="31"/>
      <c r="BA308" s="5"/>
      <c r="BB308" s="27"/>
      <c r="BC308" s="5"/>
      <c r="BD308" s="5"/>
      <c r="BE308" s="5"/>
      <c r="BF308" s="28"/>
    </row>
    <row r="309" spans="3:58" x14ac:dyDescent="0.25">
      <c r="C309" s="5"/>
      <c r="D309" s="27"/>
      <c r="E309" s="5"/>
      <c r="F309" s="27"/>
      <c r="G309" s="6"/>
      <c r="H309" s="5"/>
      <c r="I309" s="27"/>
      <c r="J309" s="5"/>
      <c r="K309" s="5"/>
      <c r="L309" s="31"/>
      <c r="M309" s="5"/>
      <c r="N309" s="27"/>
      <c r="O309" s="5"/>
      <c r="P309" s="5"/>
      <c r="Q309" s="31"/>
      <c r="R309" s="5"/>
      <c r="S309" s="27"/>
      <c r="T309" s="5"/>
      <c r="U309" s="5"/>
      <c r="V309" s="31"/>
      <c r="W309" s="5"/>
      <c r="X309" s="27"/>
      <c r="Y309" s="5"/>
      <c r="Z309" s="5"/>
      <c r="AA309" s="28"/>
      <c r="AB309" s="105"/>
      <c r="AC309" s="5"/>
      <c r="AD309" s="27"/>
      <c r="AE309" s="5"/>
      <c r="AF309" s="5"/>
      <c r="AG309" s="27"/>
      <c r="AH309" s="6"/>
      <c r="AI309" s="5"/>
      <c r="AJ309" s="27"/>
      <c r="AK309" s="5"/>
      <c r="AL309" s="5"/>
      <c r="AM309" s="5"/>
      <c r="AN309" s="31"/>
      <c r="AO309" s="5"/>
      <c r="AP309" s="27"/>
      <c r="AQ309" s="5"/>
      <c r="AR309" s="5"/>
      <c r="AS309" s="27"/>
      <c r="AT309" s="31"/>
      <c r="AU309" s="5"/>
      <c r="AV309" s="27"/>
      <c r="AW309" s="5"/>
      <c r="AX309" s="5"/>
      <c r="AY309" s="5"/>
      <c r="AZ309" s="31"/>
      <c r="BA309" s="5"/>
      <c r="BB309" s="27"/>
      <c r="BC309" s="5"/>
      <c r="BD309" s="5"/>
      <c r="BE309" s="5"/>
      <c r="BF309" s="28"/>
    </row>
    <row r="310" spans="3:58" x14ac:dyDescent="0.25">
      <c r="C310" s="5"/>
      <c r="D310" s="27"/>
      <c r="E310" s="5"/>
      <c r="F310" s="27"/>
      <c r="G310" s="6"/>
      <c r="H310" s="5"/>
      <c r="I310" s="27"/>
      <c r="J310" s="5"/>
      <c r="K310" s="5"/>
      <c r="L310" s="31"/>
      <c r="M310" s="5"/>
      <c r="N310" s="27"/>
      <c r="O310" s="5"/>
      <c r="P310" s="5"/>
      <c r="Q310" s="31"/>
      <c r="R310" s="5"/>
      <c r="S310" s="27"/>
      <c r="T310" s="5"/>
      <c r="U310" s="5"/>
      <c r="V310" s="31"/>
      <c r="W310" s="5"/>
      <c r="X310" s="27"/>
      <c r="Y310" s="5"/>
      <c r="Z310" s="5"/>
      <c r="AA310" s="28"/>
      <c r="AB310" s="105"/>
      <c r="AC310" s="5"/>
      <c r="AD310" s="27"/>
      <c r="AE310" s="5"/>
      <c r="AF310" s="5"/>
      <c r="AG310" s="27"/>
      <c r="AH310" s="6"/>
      <c r="AI310" s="5"/>
      <c r="AJ310" s="27"/>
      <c r="AK310" s="5"/>
      <c r="AL310" s="5"/>
      <c r="AM310" s="5"/>
      <c r="AN310" s="31"/>
      <c r="AO310" s="5"/>
      <c r="AP310" s="27"/>
      <c r="AQ310" s="5"/>
      <c r="AR310" s="5"/>
      <c r="AS310" s="27"/>
      <c r="AT310" s="31"/>
      <c r="AU310" s="5"/>
      <c r="AV310" s="27"/>
      <c r="AW310" s="5"/>
      <c r="AX310" s="5"/>
      <c r="AY310" s="5"/>
      <c r="AZ310" s="31"/>
      <c r="BA310" s="5"/>
      <c r="BB310" s="27"/>
      <c r="BC310" s="5"/>
      <c r="BD310" s="5"/>
      <c r="BE310" s="5"/>
      <c r="BF310" s="28"/>
    </row>
    <row r="311" spans="3:58" x14ac:dyDescent="0.25">
      <c r="C311" s="5"/>
      <c r="D311" s="27"/>
      <c r="E311" s="5"/>
      <c r="F311" s="27"/>
      <c r="G311" s="6"/>
      <c r="H311" s="5"/>
      <c r="I311" s="27"/>
      <c r="J311" s="5"/>
      <c r="K311" s="5"/>
      <c r="L311" s="31"/>
      <c r="M311" s="5"/>
      <c r="N311" s="27"/>
      <c r="O311" s="5"/>
      <c r="P311" s="5"/>
      <c r="Q311" s="31"/>
      <c r="R311" s="5"/>
      <c r="S311" s="27"/>
      <c r="T311" s="5"/>
      <c r="U311" s="5"/>
      <c r="V311" s="31"/>
      <c r="W311" s="5"/>
      <c r="X311" s="27"/>
      <c r="Y311" s="5"/>
      <c r="Z311" s="5"/>
      <c r="AA311" s="28"/>
      <c r="AB311" s="105"/>
      <c r="AC311" s="5"/>
      <c r="AD311" s="27"/>
      <c r="AE311" s="5"/>
      <c r="AF311" s="5"/>
      <c r="AG311" s="27"/>
      <c r="AH311" s="6"/>
      <c r="AI311" s="5"/>
      <c r="AJ311" s="27"/>
      <c r="AK311" s="5"/>
      <c r="AL311" s="5"/>
      <c r="AM311" s="5"/>
      <c r="AN311" s="31"/>
      <c r="AO311" s="5"/>
      <c r="AP311" s="27"/>
      <c r="AQ311" s="5"/>
      <c r="AR311" s="5"/>
      <c r="AS311" s="27"/>
      <c r="AT311" s="31"/>
      <c r="AU311" s="5"/>
      <c r="AV311" s="27"/>
      <c r="AW311" s="5"/>
      <c r="AX311" s="5"/>
      <c r="AY311" s="5"/>
      <c r="AZ311" s="31"/>
      <c r="BA311" s="5"/>
      <c r="BB311" s="27"/>
      <c r="BC311" s="5"/>
      <c r="BD311" s="5"/>
      <c r="BE311" s="5"/>
      <c r="BF311" s="28"/>
    </row>
    <row r="312" spans="3:58" x14ac:dyDescent="0.25">
      <c r="C312" s="5"/>
      <c r="D312" s="27"/>
      <c r="E312" s="5"/>
      <c r="F312" s="27"/>
      <c r="G312" s="6"/>
      <c r="H312" s="5"/>
      <c r="I312" s="27"/>
      <c r="J312" s="5"/>
      <c r="K312" s="5"/>
      <c r="L312" s="31"/>
      <c r="M312" s="5"/>
      <c r="N312" s="27"/>
      <c r="O312" s="5"/>
      <c r="P312" s="5"/>
      <c r="Q312" s="31"/>
      <c r="R312" s="5"/>
      <c r="S312" s="27"/>
      <c r="T312" s="5"/>
      <c r="U312" s="5"/>
      <c r="V312" s="31"/>
      <c r="W312" s="5"/>
      <c r="X312" s="27"/>
      <c r="Y312" s="5"/>
      <c r="Z312" s="5"/>
      <c r="AA312" s="28"/>
      <c r="AB312" s="105"/>
      <c r="AC312" s="5"/>
      <c r="AD312" s="27"/>
      <c r="AE312" s="5"/>
      <c r="AF312" s="5"/>
      <c r="AG312" s="27"/>
      <c r="AH312" s="6"/>
      <c r="AI312" s="5"/>
      <c r="AJ312" s="27"/>
      <c r="AK312" s="5"/>
      <c r="AL312" s="5"/>
      <c r="AM312" s="5"/>
      <c r="AN312" s="31"/>
      <c r="AO312" s="5"/>
      <c r="AP312" s="27"/>
      <c r="AQ312" s="5"/>
      <c r="AR312" s="5"/>
      <c r="AS312" s="27"/>
      <c r="AT312" s="31"/>
      <c r="AU312" s="5"/>
      <c r="AV312" s="27"/>
      <c r="AW312" s="5"/>
      <c r="AX312" s="5"/>
      <c r="AY312" s="5"/>
      <c r="AZ312" s="31"/>
      <c r="BA312" s="5"/>
      <c r="BB312" s="27"/>
      <c r="BC312" s="5"/>
      <c r="BD312" s="5"/>
      <c r="BE312" s="5"/>
      <c r="BF312" s="28"/>
    </row>
    <row r="313" spans="3:58" x14ac:dyDescent="0.25">
      <c r="C313" s="5"/>
      <c r="D313" s="27"/>
      <c r="E313" s="5"/>
      <c r="F313" s="27"/>
      <c r="G313" s="6"/>
      <c r="H313" s="5"/>
      <c r="I313" s="27"/>
      <c r="J313" s="5"/>
      <c r="K313" s="5"/>
      <c r="L313" s="31"/>
      <c r="M313" s="5"/>
      <c r="N313" s="27"/>
      <c r="O313" s="5"/>
      <c r="P313" s="5"/>
      <c r="Q313" s="31"/>
      <c r="R313" s="5"/>
      <c r="S313" s="27"/>
      <c r="T313" s="5"/>
      <c r="U313" s="5"/>
      <c r="V313" s="31"/>
      <c r="W313" s="5"/>
      <c r="X313" s="27"/>
      <c r="Y313" s="5"/>
      <c r="Z313" s="5"/>
      <c r="AA313" s="28"/>
      <c r="AB313" s="105"/>
      <c r="AC313" s="5"/>
      <c r="AD313" s="27"/>
      <c r="AE313" s="5"/>
      <c r="AF313" s="5"/>
      <c r="AG313" s="27"/>
      <c r="AH313" s="6"/>
      <c r="AI313" s="5"/>
      <c r="AJ313" s="27"/>
      <c r="AK313" s="5"/>
      <c r="AL313" s="5"/>
      <c r="AM313" s="5"/>
      <c r="AN313" s="31"/>
      <c r="AO313" s="5"/>
      <c r="AP313" s="27"/>
      <c r="AQ313" s="5"/>
      <c r="AR313" s="5"/>
      <c r="AS313" s="27"/>
      <c r="AT313" s="31"/>
      <c r="AU313" s="5"/>
      <c r="AV313" s="27"/>
      <c r="AW313" s="5"/>
      <c r="AX313" s="5"/>
      <c r="AY313" s="5"/>
      <c r="AZ313" s="31"/>
      <c r="BA313" s="5"/>
      <c r="BB313" s="27"/>
      <c r="BC313" s="5"/>
      <c r="BD313" s="5"/>
      <c r="BE313" s="5"/>
      <c r="BF313" s="28"/>
    </row>
    <row r="314" spans="3:58" x14ac:dyDescent="0.25">
      <c r="C314" s="5"/>
      <c r="D314" s="27"/>
      <c r="E314" s="5"/>
      <c r="F314" s="27"/>
      <c r="G314" s="6"/>
      <c r="H314" s="5"/>
      <c r="I314" s="27"/>
      <c r="J314" s="5"/>
      <c r="K314" s="5"/>
      <c r="L314" s="31"/>
      <c r="M314" s="5"/>
      <c r="N314" s="27"/>
      <c r="O314" s="5"/>
      <c r="P314" s="5"/>
      <c r="Q314" s="31"/>
      <c r="R314" s="5"/>
      <c r="S314" s="27"/>
      <c r="T314" s="5"/>
      <c r="U314" s="5"/>
      <c r="V314" s="31"/>
      <c r="W314" s="5"/>
      <c r="X314" s="27"/>
      <c r="Y314" s="5"/>
      <c r="Z314" s="5"/>
      <c r="AA314" s="28"/>
      <c r="AB314" s="105"/>
      <c r="AC314" s="5"/>
      <c r="AD314" s="27"/>
      <c r="AE314" s="5"/>
      <c r="AF314" s="5"/>
      <c r="AG314" s="27"/>
      <c r="AH314" s="6"/>
      <c r="AI314" s="5"/>
      <c r="AJ314" s="27"/>
      <c r="AK314" s="5"/>
      <c r="AL314" s="5"/>
      <c r="AM314" s="5"/>
      <c r="AN314" s="31"/>
      <c r="AO314" s="5"/>
      <c r="AP314" s="27"/>
      <c r="AQ314" s="5"/>
      <c r="AR314" s="5"/>
      <c r="AS314" s="27"/>
      <c r="AT314" s="31"/>
      <c r="AU314" s="5"/>
      <c r="AV314" s="27"/>
      <c r="AW314" s="5"/>
      <c r="AX314" s="5"/>
      <c r="AY314" s="5"/>
      <c r="AZ314" s="31"/>
      <c r="BA314" s="5"/>
      <c r="BB314" s="27"/>
      <c r="BC314" s="5"/>
      <c r="BD314" s="5"/>
      <c r="BE314" s="5"/>
      <c r="BF314" s="28"/>
    </row>
    <row r="315" spans="3:58" x14ac:dyDescent="0.25">
      <c r="C315" s="5"/>
      <c r="D315" s="27"/>
      <c r="E315" s="5"/>
      <c r="F315" s="27"/>
      <c r="G315" s="6"/>
      <c r="H315" s="5"/>
      <c r="I315" s="27"/>
      <c r="J315" s="5"/>
      <c r="K315" s="5"/>
      <c r="L315" s="31"/>
      <c r="M315" s="5"/>
      <c r="N315" s="27"/>
      <c r="O315" s="5"/>
      <c r="P315" s="5"/>
      <c r="Q315" s="31"/>
      <c r="R315" s="5"/>
      <c r="S315" s="27"/>
      <c r="T315" s="5"/>
      <c r="U315" s="5"/>
      <c r="V315" s="31"/>
      <c r="W315" s="5"/>
      <c r="X315" s="27"/>
      <c r="Y315" s="5"/>
      <c r="Z315" s="5"/>
      <c r="AA315" s="28"/>
      <c r="AB315" s="105"/>
      <c r="AC315" s="5"/>
      <c r="AD315" s="27"/>
      <c r="AE315" s="5"/>
      <c r="AF315" s="5"/>
      <c r="AG315" s="27"/>
      <c r="AH315" s="6"/>
      <c r="AI315" s="5"/>
      <c r="AJ315" s="27"/>
      <c r="AK315" s="5"/>
      <c r="AL315" s="5"/>
      <c r="AM315" s="5"/>
      <c r="AN315" s="31"/>
      <c r="AO315" s="5"/>
      <c r="AP315" s="27"/>
      <c r="AQ315" s="5"/>
      <c r="AR315" s="5"/>
      <c r="AS315" s="27"/>
      <c r="AT315" s="31"/>
      <c r="AU315" s="5"/>
      <c r="AV315" s="27"/>
      <c r="AW315" s="5"/>
      <c r="AX315" s="5"/>
      <c r="AY315" s="5"/>
      <c r="AZ315" s="31"/>
      <c r="BA315" s="5"/>
      <c r="BB315" s="27"/>
      <c r="BC315" s="5"/>
      <c r="BD315" s="5"/>
      <c r="BE315" s="5"/>
      <c r="BF315" s="28"/>
    </row>
    <row r="316" spans="3:58" x14ac:dyDescent="0.25">
      <c r="C316" s="5"/>
      <c r="D316" s="27"/>
      <c r="E316" s="5"/>
      <c r="F316" s="27"/>
      <c r="G316" s="6"/>
      <c r="H316" s="5"/>
      <c r="I316" s="27"/>
      <c r="J316" s="5"/>
      <c r="K316" s="5"/>
      <c r="L316" s="31"/>
      <c r="M316" s="5"/>
      <c r="N316" s="27"/>
      <c r="O316" s="5"/>
      <c r="P316" s="5"/>
      <c r="Q316" s="31"/>
      <c r="R316" s="5"/>
      <c r="S316" s="27"/>
      <c r="T316" s="5"/>
      <c r="U316" s="5"/>
      <c r="V316" s="31"/>
      <c r="W316" s="5"/>
      <c r="X316" s="27"/>
      <c r="Y316" s="5"/>
      <c r="Z316" s="5"/>
      <c r="AA316" s="28"/>
      <c r="AB316" s="105"/>
      <c r="AC316" s="5"/>
      <c r="AD316" s="27"/>
      <c r="AE316" s="5"/>
      <c r="AF316" s="5"/>
      <c r="AG316" s="27"/>
      <c r="AH316" s="6"/>
      <c r="AI316" s="5"/>
      <c r="AJ316" s="27"/>
      <c r="AK316" s="5"/>
      <c r="AL316" s="5"/>
      <c r="AM316" s="5"/>
      <c r="AN316" s="31"/>
      <c r="AO316" s="5"/>
      <c r="AP316" s="27"/>
      <c r="AQ316" s="5"/>
      <c r="AR316" s="5"/>
      <c r="AS316" s="27"/>
      <c r="AT316" s="31"/>
      <c r="AU316" s="5"/>
      <c r="AV316" s="27"/>
      <c r="AW316" s="5"/>
      <c r="AX316" s="5"/>
      <c r="AY316" s="5"/>
      <c r="AZ316" s="31"/>
      <c r="BA316" s="5"/>
      <c r="BB316" s="27"/>
      <c r="BC316" s="5"/>
      <c r="BD316" s="5"/>
      <c r="BE316" s="5"/>
      <c r="BF316" s="28"/>
    </row>
    <row r="317" spans="3:58" x14ac:dyDescent="0.25">
      <c r="C317" s="5"/>
      <c r="D317" s="27"/>
      <c r="E317" s="5"/>
      <c r="F317" s="27"/>
      <c r="G317" s="6"/>
      <c r="H317" s="5"/>
      <c r="I317" s="27"/>
      <c r="J317" s="5"/>
      <c r="K317" s="5"/>
      <c r="L317" s="31"/>
      <c r="M317" s="5"/>
      <c r="N317" s="27"/>
      <c r="O317" s="5"/>
      <c r="P317" s="5"/>
      <c r="Q317" s="31"/>
      <c r="R317" s="5"/>
      <c r="S317" s="27"/>
      <c r="T317" s="5"/>
      <c r="U317" s="5"/>
      <c r="V317" s="31"/>
      <c r="W317" s="5"/>
      <c r="X317" s="27"/>
      <c r="Y317" s="5"/>
      <c r="Z317" s="5"/>
      <c r="AA317" s="28"/>
      <c r="AB317" s="105"/>
      <c r="AC317" s="5"/>
      <c r="AD317" s="27"/>
      <c r="AE317" s="5"/>
      <c r="AF317" s="5"/>
      <c r="AG317" s="27"/>
      <c r="AH317" s="6"/>
      <c r="AI317" s="5"/>
      <c r="AJ317" s="27"/>
      <c r="AK317" s="5"/>
      <c r="AL317" s="5"/>
      <c r="AM317" s="5"/>
      <c r="AN317" s="31"/>
      <c r="AO317" s="5"/>
      <c r="AP317" s="27"/>
      <c r="AQ317" s="5"/>
      <c r="AR317" s="5"/>
      <c r="AS317" s="27"/>
      <c r="AT317" s="31"/>
      <c r="AU317" s="5"/>
      <c r="AV317" s="27"/>
      <c r="AW317" s="5"/>
      <c r="AX317" s="5"/>
      <c r="AY317" s="5"/>
      <c r="AZ317" s="31"/>
      <c r="BA317" s="5"/>
      <c r="BB317" s="27"/>
      <c r="BC317" s="5"/>
      <c r="BD317" s="5"/>
      <c r="BE317" s="5"/>
      <c r="BF317" s="28"/>
    </row>
    <row r="318" spans="3:58" x14ac:dyDescent="0.25">
      <c r="C318" s="5"/>
      <c r="D318" s="27"/>
      <c r="E318" s="5"/>
      <c r="F318" s="27"/>
      <c r="G318" s="6"/>
      <c r="H318" s="5"/>
      <c r="I318" s="27"/>
      <c r="J318" s="5"/>
      <c r="K318" s="5"/>
      <c r="L318" s="31"/>
      <c r="M318" s="5"/>
      <c r="N318" s="27"/>
      <c r="O318" s="5"/>
      <c r="P318" s="5"/>
      <c r="Q318" s="31"/>
      <c r="R318" s="5"/>
      <c r="S318" s="27"/>
      <c r="T318" s="5"/>
      <c r="U318" s="5"/>
      <c r="V318" s="31"/>
      <c r="W318" s="5"/>
      <c r="X318" s="27"/>
      <c r="Y318" s="5"/>
      <c r="Z318" s="5"/>
      <c r="AA318" s="28"/>
      <c r="AB318" s="105"/>
      <c r="AC318" s="5"/>
      <c r="AD318" s="27"/>
      <c r="AE318" s="5"/>
      <c r="AF318" s="5"/>
      <c r="AG318" s="27"/>
      <c r="AH318" s="6"/>
      <c r="AI318" s="5"/>
      <c r="AJ318" s="27"/>
      <c r="AK318" s="5"/>
      <c r="AL318" s="5"/>
      <c r="AM318" s="5"/>
      <c r="AN318" s="31"/>
      <c r="AO318" s="5"/>
      <c r="AP318" s="27"/>
      <c r="AQ318" s="5"/>
      <c r="AR318" s="5"/>
      <c r="AS318" s="27"/>
      <c r="AT318" s="31"/>
      <c r="AU318" s="5"/>
      <c r="AV318" s="27"/>
      <c r="AW318" s="5"/>
      <c r="AX318" s="5"/>
      <c r="AY318" s="5"/>
      <c r="AZ318" s="31"/>
      <c r="BA318" s="5"/>
      <c r="BB318" s="27"/>
      <c r="BC318" s="5"/>
      <c r="BD318" s="5"/>
      <c r="BE318" s="5"/>
      <c r="BF318" s="28"/>
    </row>
    <row r="319" spans="3:58" x14ac:dyDescent="0.25">
      <c r="S319" s="27"/>
      <c r="T319" s="5"/>
      <c r="U319" s="5"/>
      <c r="V319" s="31"/>
      <c r="AV319" s="27"/>
      <c r="AW319" s="5"/>
      <c r="AY319" s="5"/>
      <c r="AZ319" s="31"/>
    </row>
    <row r="320" spans="3:58" x14ac:dyDescent="0.25">
      <c r="S320" s="27"/>
      <c r="T320" s="5"/>
      <c r="U320" s="5"/>
      <c r="V320" s="31"/>
      <c r="AV320" s="27"/>
      <c r="AW320" s="5"/>
      <c r="AY320" s="5"/>
      <c r="AZ320" s="31"/>
    </row>
    <row r="321" spans="19:52" x14ac:dyDescent="0.25">
      <c r="S321" s="27"/>
      <c r="T321" s="5"/>
      <c r="U321" s="5"/>
      <c r="V321" s="31"/>
      <c r="AV321" s="27"/>
      <c r="AW321" s="5"/>
      <c r="AY321" s="5"/>
      <c r="AZ321" s="31"/>
    </row>
  </sheetData>
  <autoFilter ref="B3:AA91" xr:uid="{295CA769-674C-4790-A594-B7B931AA3D5F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4CE9-3FE4-4D01-B7C0-72F4F05D2DBF}">
  <dimension ref="B2:G5"/>
  <sheetViews>
    <sheetView workbookViewId="0">
      <selection activeCell="B2" sqref="B2:G5"/>
    </sheetView>
  </sheetViews>
  <sheetFormatPr defaultRowHeight="15" x14ac:dyDescent="0.25"/>
  <cols>
    <col min="2" max="2" width="9.5703125" bestFit="1" customWidth="1"/>
    <col min="3" max="7" width="12.7109375" customWidth="1"/>
  </cols>
  <sheetData>
    <row r="2" spans="2:7" x14ac:dyDescent="0.25">
      <c r="B2" t="s">
        <v>685</v>
      </c>
      <c r="C2" s="41" t="s">
        <v>699</v>
      </c>
      <c r="D2" t="s">
        <v>700</v>
      </c>
    </row>
    <row r="3" spans="2:7" x14ac:dyDescent="0.25">
      <c r="B3" t="s">
        <v>686</v>
      </c>
      <c r="C3" t="s">
        <v>691</v>
      </c>
      <c r="D3" s="41" t="s">
        <v>698</v>
      </c>
      <c r="E3" t="s">
        <v>692</v>
      </c>
    </row>
    <row r="4" spans="2:7" x14ac:dyDescent="0.25">
      <c r="B4" t="s">
        <v>687</v>
      </c>
      <c r="C4" t="s">
        <v>690</v>
      </c>
      <c r="D4" s="41" t="s">
        <v>689</v>
      </c>
    </row>
    <row r="5" spans="2:7" x14ac:dyDescent="0.25">
      <c r="B5" t="s">
        <v>688</v>
      </c>
      <c r="C5" t="s">
        <v>694</v>
      </c>
      <c r="D5" t="s">
        <v>693</v>
      </c>
      <c r="E5" s="41" t="s">
        <v>695</v>
      </c>
      <c r="F5" t="s">
        <v>696</v>
      </c>
      <c r="G5" t="s">
        <v>697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DC0-3932-4DC7-81C9-17EE5915B77A}">
  <dimension ref="B1:BA253"/>
  <sheetViews>
    <sheetView showGridLines="0" zoomScaleNormal="100" workbookViewId="0">
      <pane xSplit="28" ySplit="3" topLeftCell="AC4" activePane="bottomRight" state="frozen"/>
      <selection pane="topRight" activeCell="AC1" sqref="AC1"/>
      <selection pane="bottomLeft" activeCell="A4" sqref="A4"/>
      <selection pane="bottomRight" activeCell="AK27" sqref="AK27"/>
    </sheetView>
  </sheetViews>
  <sheetFormatPr defaultRowHeight="15" outlineLevelRow="2" outlineLevelCol="1" x14ac:dyDescent="0.25"/>
  <cols>
    <col min="1" max="1" width="2.7109375" customWidth="1"/>
    <col min="2" max="2" width="9.140625" style="4"/>
    <col min="3" max="27" width="9.140625" hidden="1" customWidth="1" outlineLevel="1"/>
    <col min="28" max="28" width="2.7109375" hidden="1" customWidth="1" outlineLevel="1"/>
    <col min="29" max="29" width="9.140625" collapsed="1"/>
    <col min="32" max="32" width="9.140625" style="96"/>
    <col min="37" max="37" width="9.140625" style="75"/>
    <col min="42" max="42" width="9.140625" style="96"/>
    <col min="47" max="47" width="9.140625" style="75"/>
  </cols>
  <sheetData>
    <row r="1" spans="2:53" x14ac:dyDescent="0.25">
      <c r="AC1" s="41"/>
      <c r="AD1" s="41"/>
      <c r="AE1" s="41"/>
      <c r="AF1" s="103"/>
      <c r="AG1" s="41"/>
      <c r="AH1" s="41"/>
      <c r="AI1" s="41"/>
      <c r="AJ1" s="41"/>
      <c r="AK1" s="129"/>
      <c r="AL1" s="41"/>
      <c r="AM1" s="41"/>
      <c r="AN1" s="41"/>
      <c r="AO1" s="41"/>
      <c r="AP1" s="103"/>
      <c r="AQ1" s="41"/>
      <c r="AR1" s="41"/>
      <c r="AS1" s="41"/>
      <c r="AT1" s="41"/>
      <c r="AU1" s="129"/>
      <c r="AV1" s="41"/>
      <c r="AW1" s="41"/>
      <c r="AX1" s="41"/>
      <c r="AY1" s="41"/>
      <c r="AZ1" s="41"/>
    </row>
    <row r="2" spans="2:53" s="4" customFormat="1" x14ac:dyDescent="0.25">
      <c r="C2" s="4" t="s">
        <v>201</v>
      </c>
      <c r="H2" s="4" t="s">
        <v>205</v>
      </c>
      <c r="M2" s="4" t="s">
        <v>201</v>
      </c>
      <c r="R2" s="4" t="s">
        <v>205</v>
      </c>
      <c r="W2" s="4" t="s">
        <v>206</v>
      </c>
      <c r="AC2" s="4" t="s">
        <v>201</v>
      </c>
      <c r="AF2" s="89">
        <f>SUM(AF95:AF101)</f>
        <v>2.6</v>
      </c>
      <c r="AH2" s="4" t="s">
        <v>205</v>
      </c>
      <c r="AK2" s="89">
        <f>SUM(AK95:AK101)</f>
        <v>1.7</v>
      </c>
      <c r="AM2" s="4" t="s">
        <v>201</v>
      </c>
      <c r="AP2" s="89">
        <f>SUM(AP95:AP101)</f>
        <v>7.2</v>
      </c>
      <c r="AR2" s="4" t="s">
        <v>205</v>
      </c>
      <c r="AU2" s="89">
        <f>SUM(AU96:AU97,AU100:AU101)*3+SUM(AU98:AU99)</f>
        <v>5.8999999999999995</v>
      </c>
      <c r="AW2" s="4" t="s">
        <v>206</v>
      </c>
    </row>
    <row r="3" spans="2:53" s="4" customFormat="1" x14ac:dyDescent="0.25">
      <c r="B3" s="4" t="s">
        <v>257</v>
      </c>
      <c r="C3" s="4" t="s">
        <v>224</v>
      </c>
      <c r="D3" s="4" t="s">
        <v>217</v>
      </c>
      <c r="E3" s="4" t="s">
        <v>219</v>
      </c>
      <c r="F3" s="4" t="s">
        <v>222</v>
      </c>
      <c r="G3" s="4" t="s">
        <v>214</v>
      </c>
      <c r="H3" s="4" t="s">
        <v>224</v>
      </c>
      <c r="I3" s="4" t="s">
        <v>217</v>
      </c>
      <c r="J3" s="4" t="s">
        <v>219</v>
      </c>
      <c r="K3" s="4" t="s">
        <v>222</v>
      </c>
      <c r="L3" s="4" t="s">
        <v>214</v>
      </c>
      <c r="M3" s="4" t="s">
        <v>224</v>
      </c>
      <c r="N3" s="4" t="s">
        <v>217</v>
      </c>
      <c r="O3" s="4" t="s">
        <v>219</v>
      </c>
      <c r="P3" s="4" t="s">
        <v>222</v>
      </c>
      <c r="Q3" s="4" t="s">
        <v>214</v>
      </c>
      <c r="R3" s="4" t="s">
        <v>224</v>
      </c>
      <c r="S3" s="4" t="s">
        <v>217</v>
      </c>
      <c r="T3" s="4" t="s">
        <v>219</v>
      </c>
      <c r="U3" s="4" t="s">
        <v>222</v>
      </c>
      <c r="V3" s="4" t="s">
        <v>214</v>
      </c>
      <c r="W3" s="4" t="s">
        <v>224</v>
      </c>
      <c r="X3" s="4" t="s">
        <v>217</v>
      </c>
      <c r="Y3" s="4" t="s">
        <v>219</v>
      </c>
      <c r="Z3" s="4" t="s">
        <v>222</v>
      </c>
      <c r="AA3" s="4" t="s">
        <v>214</v>
      </c>
      <c r="AC3" s="4" t="s">
        <v>224</v>
      </c>
      <c r="AD3" s="4" t="s">
        <v>217</v>
      </c>
      <c r="AE3" s="4" t="s">
        <v>219</v>
      </c>
      <c r="AF3" s="89" t="s">
        <v>222</v>
      </c>
      <c r="AG3" s="4" t="s">
        <v>214</v>
      </c>
      <c r="AH3" s="4" t="s">
        <v>224</v>
      </c>
      <c r="AI3" s="4" t="s">
        <v>217</v>
      </c>
      <c r="AJ3" s="4" t="s">
        <v>219</v>
      </c>
      <c r="AK3" s="130" t="s">
        <v>222</v>
      </c>
      <c r="AL3" s="4" t="s">
        <v>214</v>
      </c>
      <c r="AM3" s="4" t="s">
        <v>224</v>
      </c>
      <c r="AN3" s="4" t="s">
        <v>217</v>
      </c>
      <c r="AO3" s="4" t="s">
        <v>219</v>
      </c>
      <c r="AP3" s="89" t="s">
        <v>222</v>
      </c>
      <c r="AQ3" s="4" t="s">
        <v>214</v>
      </c>
      <c r="AR3" s="4" t="s">
        <v>224</v>
      </c>
      <c r="AS3" s="4" t="s">
        <v>217</v>
      </c>
      <c r="AT3" s="4" t="s">
        <v>219</v>
      </c>
      <c r="AU3" s="130" t="s">
        <v>222</v>
      </c>
      <c r="AV3" s="4" t="s">
        <v>214</v>
      </c>
      <c r="AW3" s="4" t="s">
        <v>224</v>
      </c>
      <c r="AX3" s="4" t="s">
        <v>217</v>
      </c>
      <c r="AY3" s="4" t="s">
        <v>219</v>
      </c>
      <c r="AZ3" s="4" t="s">
        <v>222</v>
      </c>
      <c r="BA3" s="4" t="s">
        <v>214</v>
      </c>
    </row>
    <row r="4" spans="2:53" outlineLevel="1" x14ac:dyDescent="0.25">
      <c r="B4" s="4" t="s">
        <v>589</v>
      </c>
      <c r="C4" s="5">
        <v>1</v>
      </c>
      <c r="D4" s="46" t="s">
        <v>201</v>
      </c>
      <c r="E4" s="5" t="str">
        <f>INDEX('Nike pace chart'!$BO$9:$BO$16,MATCH('Nike training program_21k'!D4,'Nike pace chart'!$BY$9:$BY$16,0))</f>
        <v>05:39</v>
      </c>
      <c r="F4" s="99">
        <f>INDEX('Nike pace chart'!$BV$9:$BV$16,MATCH(D4,'Nike pace chart'!$BY$9:$BY$16,0))/1000*((_xlfn.TEXTBEFORE(G4,":")+_xlfn.TEXTAFTER(G4,":")/60))</f>
        <v>2.6999999999999997</v>
      </c>
      <c r="G4" s="28" t="s">
        <v>233</v>
      </c>
      <c r="H4" s="5">
        <v>1</v>
      </c>
      <c r="I4" s="27" t="s">
        <v>255</v>
      </c>
      <c r="J4" s="5" t="s">
        <v>223</v>
      </c>
      <c r="K4" s="27" t="s">
        <v>223</v>
      </c>
      <c r="L4" s="28" t="s">
        <v>227</v>
      </c>
      <c r="M4" s="5">
        <v>1</v>
      </c>
      <c r="N4" s="46" t="s">
        <v>201</v>
      </c>
      <c r="O4" s="5" t="str">
        <f>INDEX('Nike pace chart'!$BO$9:$BO$16,MATCH('Nike training program_21k'!N4,'Nike pace chart'!$BY$9:$BY$16,0))</f>
        <v>05:39</v>
      </c>
      <c r="P4" s="99">
        <f>INDEX('Nike pace chart'!$BV$9:$BV$16,MATCH(N4,'Nike pace chart'!$BY$9:$BY$16,0))/1000*((_xlfn.TEXTBEFORE(Q4,":")+_xlfn.TEXTAFTER(Q4,":")/60))</f>
        <v>4.5</v>
      </c>
      <c r="Q4" s="28" t="s">
        <v>226</v>
      </c>
      <c r="R4" s="5">
        <v>1</v>
      </c>
      <c r="S4" s="27" t="s">
        <v>255</v>
      </c>
      <c r="T4" s="5" t="s">
        <v>223</v>
      </c>
      <c r="U4" s="27" t="s">
        <v>223</v>
      </c>
      <c r="V4" s="28" t="s">
        <v>227</v>
      </c>
      <c r="W4" s="5">
        <v>1</v>
      </c>
      <c r="X4" s="45" t="s">
        <v>241</v>
      </c>
      <c r="Y4" s="5" t="str">
        <f>INDEX('Nike pace chart'!$BO$9:$BO$16,MATCH('Nike training program_21k'!X4,'Nike pace chart'!$BY$9:$BY$16,0))</f>
        <v>04:25</v>
      </c>
      <c r="Z4" s="27">
        <v>5</v>
      </c>
      <c r="AA4" s="28" t="s">
        <v>223</v>
      </c>
      <c r="AB4" s="102">
        <v>1</v>
      </c>
      <c r="AC4" s="5">
        <v>1</v>
      </c>
      <c r="AD4" s="46" t="s">
        <v>201</v>
      </c>
      <c r="AE4" s="5" t="str">
        <f>INDEX('Nike pace chart'!$BO$9:$BO$16,MATCH('Nike training program_21k'!AD4,'Nike pace chart'!$BY$9:$BY$16,0))</f>
        <v>05:39</v>
      </c>
      <c r="AF4" s="27">
        <v>2.6</v>
      </c>
      <c r="AG4" s="28" t="s">
        <v>233</v>
      </c>
      <c r="AH4" s="5">
        <v>1</v>
      </c>
      <c r="AI4" s="27" t="s">
        <v>255</v>
      </c>
      <c r="AJ4" s="5" t="s">
        <v>223</v>
      </c>
      <c r="AK4" s="99" t="s">
        <v>223</v>
      </c>
      <c r="AL4" s="28" t="s">
        <v>227</v>
      </c>
      <c r="AM4" s="5">
        <v>1</v>
      </c>
      <c r="AN4" s="46" t="s">
        <v>201</v>
      </c>
      <c r="AO4" s="5" t="str">
        <f>INDEX('Nike pace chart'!$BO$9:$BO$16,MATCH('Nike training program_21k'!AN4,'Nike pace chart'!$BY$9:$BY$16,0))</f>
        <v>05:39</v>
      </c>
      <c r="AP4" s="27">
        <v>4.5</v>
      </c>
      <c r="AQ4" s="28" t="s">
        <v>226</v>
      </c>
      <c r="AR4" s="5">
        <v>1</v>
      </c>
      <c r="AS4" s="27" t="s">
        <v>255</v>
      </c>
      <c r="AT4" s="5" t="s">
        <v>223</v>
      </c>
      <c r="AU4" s="99" t="s">
        <v>223</v>
      </c>
      <c r="AV4" s="28" t="s">
        <v>227</v>
      </c>
      <c r="AW4" s="5">
        <v>1</v>
      </c>
      <c r="AX4" s="45" t="s">
        <v>241</v>
      </c>
      <c r="AY4" s="5"/>
      <c r="AZ4" s="27">
        <v>5</v>
      </c>
      <c r="BA4" s="28" t="s">
        <v>223</v>
      </c>
    </row>
    <row r="5" spans="2:53" outlineLevel="1" x14ac:dyDescent="0.25">
      <c r="B5" s="79"/>
      <c r="C5" s="5"/>
      <c r="D5" s="27"/>
      <c r="E5" s="5"/>
      <c r="F5" s="27"/>
      <c r="G5" s="5"/>
      <c r="H5" s="5">
        <v>8</v>
      </c>
      <c r="I5" s="49" t="s">
        <v>195</v>
      </c>
      <c r="J5" s="5" t="str">
        <f>INDEX('Nike pace chart'!$BO$9:$BO$16,MATCH('Nike training program_21k'!I5,'Nike pace chart'!$BY$9:$BY$16,0))</f>
        <v>04:37</v>
      </c>
      <c r="K5" s="99">
        <f>INDEX('Nike pace chart'!$BV$9:$BV$16,MATCH(I5,'Nike pace chart'!$BY$9:$BY$16,0))/1000*((_xlfn.TEXTBEFORE(L5,":")+_xlfn.TEXTAFTER(L5,":")/60))</f>
        <v>0.22</v>
      </c>
      <c r="L5" s="28" t="s">
        <v>225</v>
      </c>
      <c r="M5" s="5"/>
      <c r="N5" s="27"/>
      <c r="O5" s="5"/>
      <c r="P5" s="27"/>
      <c r="Q5" s="28"/>
      <c r="R5" s="5">
        <v>7</v>
      </c>
      <c r="S5" s="51" t="s">
        <v>203</v>
      </c>
      <c r="T5" s="5" t="str">
        <f>INDEX('Nike pace chart'!$BO$9:$BO$16,MATCH('Nike training program_21k'!S5,'Nike pace chart'!$BY$9:$BY$16,0))</f>
        <v>04:13</v>
      </c>
      <c r="U5" s="99">
        <f>INDEX('Nike pace chart'!$BV$9:$BV$16,MATCH(S5,'Nike pace chart'!$BY$9:$BY$16,0))/1000*((_xlfn.TEXTBEFORE(V5,":")+_xlfn.TEXTAFTER(V5,":")/60))</f>
        <v>0.24</v>
      </c>
      <c r="V5" s="28" t="s">
        <v>225</v>
      </c>
      <c r="W5" s="5"/>
      <c r="X5" s="27"/>
      <c r="Y5" s="5"/>
      <c r="Z5" s="27"/>
      <c r="AA5" s="28"/>
      <c r="AB5" s="102">
        <v>1</v>
      </c>
      <c r="AC5" s="5"/>
      <c r="AD5" s="27"/>
      <c r="AE5" s="5"/>
      <c r="AF5" s="27"/>
      <c r="AG5" s="5"/>
      <c r="AH5" s="5">
        <v>8</v>
      </c>
      <c r="AI5" s="49" t="s">
        <v>195</v>
      </c>
      <c r="AJ5" s="5" t="str">
        <f>INDEX('Nike pace chart'!$BO$9:$BO$16,MATCH('Nike training program_21k'!AI5,'Nike pace chart'!$BY$9:$BY$16,0))</f>
        <v>04:37</v>
      </c>
      <c r="AK5" s="99">
        <v>0.2</v>
      </c>
      <c r="AL5" s="28" t="s">
        <v>225</v>
      </c>
      <c r="AM5" s="5"/>
      <c r="AN5" s="27"/>
      <c r="AO5" s="5"/>
      <c r="AP5" s="27"/>
      <c r="AQ5" s="28"/>
      <c r="AR5" s="5">
        <v>7</v>
      </c>
      <c r="AS5" s="51" t="s">
        <v>203</v>
      </c>
      <c r="AT5" s="5" t="str">
        <f>INDEX('Nike pace chart'!$BO$9:$BO$16,MATCH('Nike training program_21k'!AS5,'Nike pace chart'!$BY$9:$BY$16,0))</f>
        <v>04:13</v>
      </c>
      <c r="AU5" s="99">
        <v>0.25</v>
      </c>
      <c r="AV5" s="28" t="s">
        <v>225</v>
      </c>
      <c r="AW5" s="5"/>
      <c r="AX5" s="27"/>
      <c r="AY5" s="5"/>
      <c r="AZ5" s="27"/>
      <c r="BA5" s="28"/>
    </row>
    <row r="6" spans="2:53" outlineLevel="1" x14ac:dyDescent="0.25">
      <c r="B6" s="79"/>
      <c r="C6" s="5"/>
      <c r="D6" s="27"/>
      <c r="E6" s="5"/>
      <c r="F6" s="27"/>
      <c r="G6" s="5"/>
      <c r="H6" s="5"/>
      <c r="I6" s="46" t="s">
        <v>201</v>
      </c>
      <c r="J6" s="5" t="str">
        <f>INDEX('Nike pace chart'!$BO$9:$BO$16,MATCH('Nike training program_21k'!I6,'Nike pace chart'!$BY$9:$BY$16,0))</f>
        <v>05:39</v>
      </c>
      <c r="K6" s="99">
        <f>INDEX('Nike pace chart'!$BV$9:$BV$16,MATCH(I6,'Nike pace chart'!$BY$9:$BY$16,0))/1000*((_xlfn.TEXTBEFORE(L6,":")+_xlfn.TEXTAFTER(L6,":")/60))</f>
        <v>0.18</v>
      </c>
      <c r="L6" s="28" t="s">
        <v>225</v>
      </c>
      <c r="M6" s="5"/>
      <c r="N6" s="27"/>
      <c r="O6" s="5"/>
      <c r="P6" s="27"/>
      <c r="Q6" s="28"/>
      <c r="R6" s="5"/>
      <c r="S6" s="46" t="s">
        <v>201</v>
      </c>
      <c r="T6" s="5" t="str">
        <f>INDEX('Nike pace chart'!$BO$9:$BO$16,MATCH('Nike training program_21k'!S6,'Nike pace chart'!$BY$9:$BY$16,0))</f>
        <v>05:39</v>
      </c>
      <c r="U6" s="99">
        <f>INDEX('Nike pace chart'!$BV$9:$BV$16,MATCH(S6,'Nike pace chart'!$BY$9:$BY$16,0))/1000*((_xlfn.TEXTBEFORE(V6,":")+_xlfn.TEXTAFTER(V6,":")/60))</f>
        <v>0.36</v>
      </c>
      <c r="V6" s="28" t="s">
        <v>228</v>
      </c>
      <c r="W6" s="5"/>
      <c r="X6" s="27"/>
      <c r="Y6" s="5"/>
      <c r="Z6" s="27"/>
      <c r="AA6" s="28"/>
      <c r="AB6" s="102">
        <v>1</v>
      </c>
      <c r="AC6" s="5"/>
      <c r="AD6" s="27"/>
      <c r="AE6" s="5"/>
      <c r="AF6" s="27"/>
      <c r="AG6" s="5"/>
      <c r="AH6" s="5"/>
      <c r="AI6" s="46" t="s">
        <v>201</v>
      </c>
      <c r="AJ6" s="5" t="str">
        <f>INDEX('Nike pace chart'!$BO$9:$BO$16,MATCH('Nike training program_21k'!AI6,'Nike pace chart'!$BY$9:$BY$16,0))</f>
        <v>05:39</v>
      </c>
      <c r="AK6" s="99">
        <v>0.2</v>
      </c>
      <c r="AL6" s="28" t="s">
        <v>225</v>
      </c>
      <c r="AM6" s="5"/>
      <c r="AN6" s="27"/>
      <c r="AO6" s="5"/>
      <c r="AP6" s="27"/>
      <c r="AQ6" s="28"/>
      <c r="AR6" s="5"/>
      <c r="AS6" s="46" t="s">
        <v>201</v>
      </c>
      <c r="AT6" s="5" t="str">
        <f>INDEX('Nike pace chart'!$BO$9:$BO$16,MATCH('Nike training program_21k'!AS6,'Nike pace chart'!$BY$9:$BY$16,0))</f>
        <v>05:39</v>
      </c>
      <c r="AU6" s="99">
        <v>0.35</v>
      </c>
      <c r="AV6" s="28" t="s">
        <v>228</v>
      </c>
      <c r="AW6" s="5"/>
      <c r="AX6" s="27"/>
      <c r="AY6" s="5"/>
      <c r="AZ6" s="27"/>
      <c r="BA6" s="28"/>
    </row>
    <row r="7" spans="2:53" outlineLevel="1" x14ac:dyDescent="0.25">
      <c r="B7" s="4" t="s">
        <v>590</v>
      </c>
      <c r="C7" s="5">
        <v>1</v>
      </c>
      <c r="D7" s="46" t="s">
        <v>201</v>
      </c>
      <c r="E7" s="5" t="str">
        <f>INDEX('Nike pace chart'!$BO$9:$BO$16,MATCH('Nike training program_21k'!D7,'Nike pace chart'!$BY$9:$BY$16,0))</f>
        <v>05:39</v>
      </c>
      <c r="F7" s="99">
        <f>INDEX('Nike pace chart'!$BV$9:$BV$16,MATCH(D7,'Nike pace chart'!$BY$9:$BY$16,0))/1000*((_xlfn.TEXTBEFORE(G7,":")+_xlfn.TEXTAFTER(G7,":")/60))</f>
        <v>2.6999999999999997</v>
      </c>
      <c r="G7" s="28" t="s">
        <v>233</v>
      </c>
      <c r="H7" s="5">
        <v>1</v>
      </c>
      <c r="I7" s="27" t="s">
        <v>255</v>
      </c>
      <c r="J7" s="5" t="s">
        <v>223</v>
      </c>
      <c r="K7" s="99"/>
      <c r="L7" s="28" t="s">
        <v>227</v>
      </c>
      <c r="M7" s="5">
        <v>1</v>
      </c>
      <c r="N7" s="46" t="s">
        <v>201</v>
      </c>
      <c r="O7" s="5" t="str">
        <f>INDEX('Nike pace chart'!$BO$9:$BO$16,MATCH('Nike training program_21k'!N7,'Nike pace chart'!$BY$9:$BY$16,0))</f>
        <v>05:39</v>
      </c>
      <c r="P7" s="99">
        <f>INDEX('Nike pace chart'!$BV$9:$BV$16,MATCH(N7,'Nike pace chart'!$BY$9:$BY$16,0))/1000*((_xlfn.TEXTBEFORE(Q7,":")+_xlfn.TEXTAFTER(Q7,":")/60))</f>
        <v>6.3</v>
      </c>
      <c r="Q7" s="28" t="s">
        <v>115</v>
      </c>
      <c r="R7" s="5">
        <v>1</v>
      </c>
      <c r="S7" s="27" t="s">
        <v>255</v>
      </c>
      <c r="T7" s="5" t="s">
        <v>223</v>
      </c>
      <c r="U7" s="27" t="s">
        <v>223</v>
      </c>
      <c r="V7" s="28" t="s">
        <v>227</v>
      </c>
      <c r="W7" s="5">
        <v>1</v>
      </c>
      <c r="X7" s="45" t="s">
        <v>241</v>
      </c>
      <c r="Y7" s="5" t="str">
        <f>INDEX('Nike pace chart'!$BO$9:$BO$16,MATCH('Nike training program_21k'!X7,'Nike pace chart'!$BY$9:$BY$16,0))</f>
        <v>04:25</v>
      </c>
      <c r="Z7" s="27">
        <v>6.4</v>
      </c>
      <c r="AA7" s="28" t="s">
        <v>223</v>
      </c>
      <c r="AB7" s="102">
        <v>1</v>
      </c>
      <c r="AC7" s="5">
        <v>1</v>
      </c>
      <c r="AD7" s="46" t="s">
        <v>201</v>
      </c>
      <c r="AE7" s="5" t="str">
        <f>INDEX('Nike pace chart'!$BO$9:$BO$16,MATCH('Nike training program_21k'!AD7,'Nike pace chart'!$BY$9:$BY$16,0))</f>
        <v>05:39</v>
      </c>
      <c r="AF7" s="27">
        <v>2.6</v>
      </c>
      <c r="AG7" s="28" t="s">
        <v>233</v>
      </c>
      <c r="AH7" s="5">
        <v>1</v>
      </c>
      <c r="AI7" s="27" t="s">
        <v>255</v>
      </c>
      <c r="AJ7" s="5" t="s">
        <v>223</v>
      </c>
      <c r="AK7" s="99"/>
      <c r="AL7" s="28" t="s">
        <v>227</v>
      </c>
      <c r="AM7" s="5">
        <v>1</v>
      </c>
      <c r="AN7" s="46" t="s">
        <v>201</v>
      </c>
      <c r="AO7" s="5" t="str">
        <f>INDEX('Nike pace chart'!$BO$9:$BO$16,MATCH('Nike training program_21k'!AN7,'Nike pace chart'!$BY$9:$BY$16,0))</f>
        <v>05:39</v>
      </c>
      <c r="AP7" s="27">
        <v>6</v>
      </c>
      <c r="AQ7" s="28" t="s">
        <v>115</v>
      </c>
      <c r="AR7" s="5">
        <v>1</v>
      </c>
      <c r="AS7" s="27" t="s">
        <v>255</v>
      </c>
      <c r="AT7" s="5" t="s">
        <v>223</v>
      </c>
      <c r="AU7" s="99" t="s">
        <v>223</v>
      </c>
      <c r="AV7" s="28" t="s">
        <v>227</v>
      </c>
      <c r="AW7" s="5">
        <v>1</v>
      </c>
      <c r="AX7" s="45" t="s">
        <v>241</v>
      </c>
      <c r="AY7" s="5"/>
      <c r="AZ7" s="27">
        <v>6.4</v>
      </c>
      <c r="BA7" s="28" t="s">
        <v>223</v>
      </c>
    </row>
    <row r="8" spans="2:53" outlineLevel="1" x14ac:dyDescent="0.25">
      <c r="B8" s="79"/>
      <c r="C8" s="5"/>
      <c r="D8" s="27"/>
      <c r="E8" s="5"/>
      <c r="F8" s="27"/>
      <c r="G8" s="5"/>
      <c r="H8" s="5">
        <v>1</v>
      </c>
      <c r="I8" s="45" t="s">
        <v>241</v>
      </c>
      <c r="J8" s="5" t="str">
        <f>INDEX('Nike pace chart'!$BO$9:$BO$16,MATCH('Nike training program_21k'!I8,'Nike pace chart'!$BY$9:$BY$16,0))</f>
        <v>04:25</v>
      </c>
      <c r="K8" s="99">
        <f>INDEX('Nike pace chart'!$BV$9:$BV$16,MATCH(I8,'Nike pace chart'!$BY$9:$BY$16,0))/1000*((_xlfn.TEXTBEFORE(L8,":")+_xlfn.TEXTAFTER(L8,":")/60))</f>
        <v>0.23</v>
      </c>
      <c r="L8" s="28" t="s">
        <v>225</v>
      </c>
      <c r="M8" s="5"/>
      <c r="N8" s="27"/>
      <c r="O8" s="5"/>
      <c r="P8" s="27"/>
      <c r="Q8" s="28"/>
      <c r="R8" s="5">
        <v>4</v>
      </c>
      <c r="S8" s="49" t="s">
        <v>195</v>
      </c>
      <c r="T8" s="5" t="str">
        <f>INDEX('Nike pace chart'!$BO$9:$BO$16,MATCH('Nike training program_21k'!S8,'Nike pace chart'!$BY$9:$BY$16,0))</f>
        <v>04:37</v>
      </c>
      <c r="U8" s="99">
        <f>INDEX('Nike pace chart'!$BV$9:$BV$16,MATCH(S8,'Nike pace chart'!$BY$9:$BY$16,0))/1000*((_xlfn.TEXTBEFORE(V8,":")+_xlfn.TEXTAFTER(V8,":")/60))</f>
        <v>0.33</v>
      </c>
      <c r="V8" s="28" t="s">
        <v>236</v>
      </c>
      <c r="W8" s="5"/>
      <c r="X8" s="27"/>
      <c r="Y8" s="5"/>
      <c r="Z8" s="27"/>
      <c r="AA8" s="28"/>
      <c r="AB8" s="102">
        <v>1</v>
      </c>
      <c r="AC8" s="5"/>
      <c r="AD8" s="27"/>
      <c r="AE8" s="5"/>
      <c r="AF8" s="27"/>
      <c r="AG8" s="5"/>
      <c r="AH8" s="5">
        <v>1</v>
      </c>
      <c r="AI8" s="45" t="s">
        <v>241</v>
      </c>
      <c r="AJ8" s="5" t="str">
        <f>INDEX('Nike pace chart'!$BO$9:$BO$16,MATCH('Nike training program_21k'!AI8,'Nike pace chart'!$BY$9:$BY$16,0))</f>
        <v>04:25</v>
      </c>
      <c r="AK8" s="99">
        <v>0.45</v>
      </c>
      <c r="AL8" s="28" t="s">
        <v>225</v>
      </c>
      <c r="AM8" s="5"/>
      <c r="AN8" s="27"/>
      <c r="AO8" s="5"/>
      <c r="AP8" s="27"/>
      <c r="AQ8" s="28"/>
      <c r="AR8" s="5">
        <v>8</v>
      </c>
      <c r="AS8" s="49" t="s">
        <v>195</v>
      </c>
      <c r="AT8" s="5" t="str">
        <f>INDEX('Nike pace chart'!$BO$9:$BO$16,MATCH('Nike training program_21k'!AS8,'Nike pace chart'!$BY$9:$BY$16,0))</f>
        <v>04:37</v>
      </c>
      <c r="AU8" s="99">
        <v>0.35</v>
      </c>
      <c r="AV8" s="28" t="s">
        <v>236</v>
      </c>
      <c r="AW8" s="5"/>
      <c r="AX8" s="27"/>
      <c r="AY8" s="5"/>
      <c r="AZ8" s="27"/>
      <c r="BA8" s="28"/>
    </row>
    <row r="9" spans="2:53" outlineLevel="1" x14ac:dyDescent="0.25">
      <c r="B9" s="79"/>
      <c r="C9" s="5"/>
      <c r="D9" s="27"/>
      <c r="E9" s="5"/>
      <c r="F9" s="27"/>
      <c r="G9" s="5"/>
      <c r="H9" s="5"/>
      <c r="I9" s="46" t="s">
        <v>201</v>
      </c>
      <c r="J9" s="5" t="str">
        <f>INDEX('Nike pace chart'!$BO$9:$BO$16,MATCH('Nike training program_21k'!I9,'Nike pace chart'!$BY$9:$BY$16,0))</f>
        <v>05:39</v>
      </c>
      <c r="K9" s="99">
        <f>INDEX('Nike pace chart'!$BV$9:$BV$16,MATCH(I9,'Nike pace chart'!$BY$9:$BY$16,0))/1000*((_xlfn.TEXTBEFORE(L9,":")+_xlfn.TEXTAFTER(L9,":")/60))</f>
        <v>0.18</v>
      </c>
      <c r="L9" s="28" t="s">
        <v>225</v>
      </c>
      <c r="M9" s="5"/>
      <c r="N9" s="27"/>
      <c r="O9" s="5"/>
      <c r="P9" s="27"/>
      <c r="Q9" s="28"/>
      <c r="R9" s="5"/>
      <c r="S9" s="46" t="s">
        <v>201</v>
      </c>
      <c r="T9" s="5" t="str">
        <f>INDEX('Nike pace chart'!$BO$9:$BO$16,MATCH('Nike training program_21k'!S9,'Nike pace chart'!$BY$9:$BY$16,0))</f>
        <v>05:39</v>
      </c>
      <c r="U9" s="99">
        <f>INDEX('Nike pace chart'!$BV$9:$BV$16,MATCH(S9,'Nike pace chart'!$BY$9:$BY$16,0))/1000*((_xlfn.TEXTBEFORE(V9,":")+_xlfn.TEXTAFTER(V9,":")/60))</f>
        <v>0.13500000000000001</v>
      </c>
      <c r="V9" s="28" t="s">
        <v>229</v>
      </c>
      <c r="W9" s="5"/>
      <c r="X9" s="27"/>
      <c r="Y9" s="5"/>
      <c r="Z9" s="27"/>
      <c r="AA9" s="28"/>
      <c r="AB9" s="102">
        <v>1</v>
      </c>
      <c r="AC9" s="5"/>
      <c r="AD9" s="27"/>
      <c r="AE9" s="5"/>
      <c r="AF9" s="27"/>
      <c r="AG9" s="5"/>
      <c r="AH9" s="5"/>
      <c r="AI9" s="46" t="s">
        <v>201</v>
      </c>
      <c r="AJ9" s="5" t="str">
        <f>INDEX('Nike pace chart'!$BO$9:$BO$16,MATCH('Nike training program_21k'!AI9,'Nike pace chart'!$BY$9:$BY$16,0))</f>
        <v>05:39</v>
      </c>
      <c r="AK9" s="99">
        <v>0.35</v>
      </c>
      <c r="AL9" s="28" t="s">
        <v>225</v>
      </c>
      <c r="AM9" s="5"/>
      <c r="AN9" s="27"/>
      <c r="AO9" s="5"/>
      <c r="AP9" s="27"/>
      <c r="AQ9" s="28"/>
      <c r="AR9" s="5"/>
      <c r="AS9" s="46" t="s">
        <v>201</v>
      </c>
      <c r="AT9" s="5" t="str">
        <f>INDEX('Nike pace chart'!$BO$9:$BO$16,MATCH('Nike training program_21k'!AS9,'Nike pace chart'!$BY$9:$BY$16,0))</f>
        <v>05:39</v>
      </c>
      <c r="AU9" s="99">
        <v>0.15</v>
      </c>
      <c r="AV9" s="28" t="s">
        <v>229</v>
      </c>
      <c r="AW9" s="5"/>
      <c r="AX9" s="27"/>
      <c r="AY9" s="5"/>
      <c r="AZ9" s="27"/>
      <c r="BA9" s="28"/>
    </row>
    <row r="10" spans="2:53" outlineLevel="1" x14ac:dyDescent="0.25">
      <c r="B10" s="79"/>
      <c r="C10" s="5"/>
      <c r="D10" s="27"/>
      <c r="E10" s="5"/>
      <c r="F10" s="27"/>
      <c r="G10" s="5"/>
      <c r="H10" s="5">
        <v>1</v>
      </c>
      <c r="I10" s="49" t="s">
        <v>195</v>
      </c>
      <c r="J10" s="5" t="str">
        <f>INDEX('Nike pace chart'!$BO$9:$BO$16,MATCH('Nike training program_21k'!I10,'Nike pace chart'!$BY$9:$BY$16,0))</f>
        <v>04:37</v>
      </c>
      <c r="K10" s="99">
        <f>INDEX('Nike pace chart'!$BV$9:$BV$16,MATCH(I10,'Nike pace chart'!$BY$9:$BY$16,0))/1000*((_xlfn.TEXTBEFORE(L10,":")+_xlfn.TEXTAFTER(L10,":")/60))</f>
        <v>0.44</v>
      </c>
      <c r="L10" s="28" t="s">
        <v>228</v>
      </c>
      <c r="M10" s="5"/>
      <c r="N10" s="27"/>
      <c r="O10" s="5"/>
      <c r="P10" s="27"/>
      <c r="Q10" s="28"/>
      <c r="R10" s="5">
        <v>1</v>
      </c>
      <c r="S10" s="45" t="s">
        <v>241</v>
      </c>
      <c r="T10" s="5" t="str">
        <f>INDEX('Nike pace chart'!$BO$9:$BO$16,MATCH('Nike training program_21k'!S10,'Nike pace chart'!$BY$9:$BY$16,0))</f>
        <v>04:25</v>
      </c>
      <c r="U10" s="99">
        <f>INDEX('Nike pace chart'!$BV$9:$BV$16,MATCH(S10,'Nike pace chart'!$BY$9:$BY$16,0))/1000*((_xlfn.TEXTBEFORE(V10,":")+_xlfn.TEXTAFTER(V10,":")/60))</f>
        <v>0.34500000000000003</v>
      </c>
      <c r="V10" s="28" t="s">
        <v>236</v>
      </c>
      <c r="W10" s="5"/>
      <c r="X10" s="27"/>
      <c r="Y10" s="5"/>
      <c r="Z10" s="27"/>
      <c r="AA10" s="28"/>
      <c r="AB10" s="102">
        <v>1</v>
      </c>
      <c r="AC10" s="5"/>
      <c r="AD10" s="27"/>
      <c r="AE10" s="5"/>
      <c r="AF10" s="27"/>
      <c r="AG10" s="5"/>
      <c r="AH10" s="5">
        <v>1</v>
      </c>
      <c r="AI10" s="49" t="s">
        <v>195</v>
      </c>
      <c r="AJ10" s="5" t="str">
        <f>INDEX('Nike pace chart'!$BO$9:$BO$16,MATCH('Nike training program_21k'!AI10,'Nike pace chart'!$BY$9:$BY$16,0))</f>
        <v>04:37</v>
      </c>
      <c r="AK10" s="99">
        <v>0.85</v>
      </c>
      <c r="AL10" s="28" t="s">
        <v>228</v>
      </c>
      <c r="AM10" s="5"/>
      <c r="AN10" s="27"/>
      <c r="AO10" s="5"/>
      <c r="AP10" s="27"/>
      <c r="AQ10" s="28"/>
      <c r="AR10" s="5">
        <v>2</v>
      </c>
      <c r="AS10" s="45" t="s">
        <v>241</v>
      </c>
      <c r="AT10" s="5" t="str">
        <f>INDEX('Nike pace chart'!$BO$9:$BO$16,MATCH('Nike training program_21k'!AS10,'Nike pace chart'!$BY$9:$BY$16,0))</f>
        <v>04:25</v>
      </c>
      <c r="AU10" s="99">
        <v>0.3</v>
      </c>
      <c r="AV10" s="28" t="s">
        <v>236</v>
      </c>
      <c r="AW10" s="5"/>
      <c r="AX10" s="27"/>
      <c r="AY10" s="5"/>
      <c r="AZ10" s="27"/>
      <c r="BA10" s="28"/>
    </row>
    <row r="11" spans="2:53" outlineLevel="1" x14ac:dyDescent="0.25">
      <c r="B11" s="79"/>
      <c r="C11" s="5"/>
      <c r="D11" s="27"/>
      <c r="E11" s="5"/>
      <c r="F11" s="27"/>
      <c r="G11" s="5"/>
      <c r="H11" s="5"/>
      <c r="I11" s="46" t="s">
        <v>201</v>
      </c>
      <c r="J11" s="5" t="str">
        <f>INDEX('Nike pace chart'!$BO$9:$BO$16,MATCH('Nike training program_21k'!I11,'Nike pace chart'!$BY$9:$BY$16,0))</f>
        <v>05:39</v>
      </c>
      <c r="K11" s="99">
        <f>INDEX('Nike pace chart'!$BV$9:$BV$16,MATCH(I11,'Nike pace chart'!$BY$9:$BY$16,0))/1000*((_xlfn.TEXTBEFORE(L11,":")+_xlfn.TEXTAFTER(L11,":")/60))</f>
        <v>0.18</v>
      </c>
      <c r="L11" s="28" t="s">
        <v>225</v>
      </c>
      <c r="M11" s="5"/>
      <c r="N11" s="27"/>
      <c r="O11" s="5"/>
      <c r="P11" s="27"/>
      <c r="Q11" s="28"/>
      <c r="R11" s="5"/>
      <c r="S11" s="46" t="s">
        <v>201</v>
      </c>
      <c r="T11" s="5" t="str">
        <f>INDEX('Nike pace chart'!$BO$9:$BO$16,MATCH('Nike training program_21k'!S11,'Nike pace chart'!$BY$9:$BY$16,0))</f>
        <v>05:39</v>
      </c>
      <c r="U11" s="99">
        <f>INDEX('Nike pace chart'!$BV$9:$BV$16,MATCH(S11,'Nike pace chart'!$BY$9:$BY$16,0))/1000*((_xlfn.TEXTBEFORE(V11,":")+_xlfn.TEXTAFTER(V11,":")/60))</f>
        <v>0.18</v>
      </c>
      <c r="V11" s="28" t="s">
        <v>225</v>
      </c>
      <c r="W11" s="5"/>
      <c r="X11" s="27"/>
      <c r="Y11" s="5"/>
      <c r="Z11" s="27"/>
      <c r="AA11" s="28"/>
      <c r="AB11" s="102">
        <v>1</v>
      </c>
      <c r="AC11" s="5"/>
      <c r="AD11" s="27"/>
      <c r="AE11" s="5"/>
      <c r="AF11" s="27"/>
      <c r="AG11" s="5"/>
      <c r="AH11" s="5"/>
      <c r="AI11" s="46" t="s">
        <v>201</v>
      </c>
      <c r="AJ11" s="5" t="str">
        <f>INDEX('Nike pace chart'!$BO$9:$BO$16,MATCH('Nike training program_21k'!AI11,'Nike pace chart'!$BY$9:$BY$16,0))</f>
        <v>05:39</v>
      </c>
      <c r="AK11" s="99">
        <v>0.35</v>
      </c>
      <c r="AL11" s="28" t="s">
        <v>225</v>
      </c>
      <c r="AM11" s="5"/>
      <c r="AN11" s="27"/>
      <c r="AO11" s="5"/>
      <c r="AP11" s="27"/>
      <c r="AQ11" s="28"/>
      <c r="AR11" s="5"/>
      <c r="AS11" s="46" t="s">
        <v>201</v>
      </c>
      <c r="AT11" s="5" t="str">
        <f>INDEX('Nike pace chart'!$BO$9:$BO$16,MATCH('Nike training program_21k'!AS11,'Nike pace chart'!$BY$9:$BY$16,0))</f>
        <v>05:39</v>
      </c>
      <c r="AU11" s="99">
        <v>0.1</v>
      </c>
      <c r="AV11" s="28" t="s">
        <v>225</v>
      </c>
      <c r="AW11" s="5"/>
      <c r="AX11" s="27"/>
      <c r="AY11" s="5"/>
      <c r="AZ11" s="27"/>
      <c r="BA11" s="28"/>
    </row>
    <row r="12" spans="2:53" outlineLevel="1" x14ac:dyDescent="0.25">
      <c r="B12" s="79"/>
      <c r="C12" s="5"/>
      <c r="D12" s="27"/>
      <c r="E12" s="5"/>
      <c r="F12" s="27"/>
      <c r="G12" s="5"/>
      <c r="H12" s="5">
        <v>1</v>
      </c>
      <c r="I12" s="48" t="s">
        <v>198</v>
      </c>
      <c r="J12" s="5" t="str">
        <f>INDEX('Nike pace chart'!$BO$9:$BO$16,MATCH('Nike training program_21k'!I12,'Nike pace chart'!$BY$9:$BY$16,0))</f>
        <v>04:46</v>
      </c>
      <c r="K12" s="99">
        <f>INDEX('Nike pace chart'!$BV$9:$BV$16,MATCH(I12,'Nike pace chart'!$BY$9:$BY$16,0))/1000*((_xlfn.TEXTBEFORE(L12,":")+_xlfn.TEXTAFTER(L12,":")/60))</f>
        <v>0.63</v>
      </c>
      <c r="L12" s="28" t="s">
        <v>235</v>
      </c>
      <c r="M12" s="5"/>
      <c r="N12" s="27"/>
      <c r="O12" s="5"/>
      <c r="P12" s="27"/>
      <c r="Q12" s="28"/>
      <c r="R12" s="5">
        <v>4</v>
      </c>
      <c r="S12" s="49" t="s">
        <v>195</v>
      </c>
      <c r="T12" s="5" t="str">
        <f>INDEX('Nike pace chart'!$BO$9:$BO$16,MATCH('Nike training program_21k'!S12,'Nike pace chart'!$BY$9:$BY$16,0))</f>
        <v>04:37</v>
      </c>
      <c r="U12" s="99">
        <f>INDEX('Nike pace chart'!$BV$9:$BV$16,MATCH(S12,'Nike pace chart'!$BY$9:$BY$16,0))/1000*((_xlfn.TEXTBEFORE(V12,":")+_xlfn.TEXTAFTER(V12,":")/60))</f>
        <v>0.33</v>
      </c>
      <c r="V12" s="28" t="s">
        <v>236</v>
      </c>
      <c r="W12" s="5"/>
      <c r="X12" s="27"/>
      <c r="Y12" s="5"/>
      <c r="Z12" s="27"/>
      <c r="AA12" s="28"/>
      <c r="AB12" s="102">
        <v>1</v>
      </c>
      <c r="AC12" s="5"/>
      <c r="AD12" s="27"/>
      <c r="AE12" s="5"/>
      <c r="AF12" s="27"/>
      <c r="AG12" s="5"/>
      <c r="AH12" s="5">
        <v>1</v>
      </c>
      <c r="AI12" s="48" t="s">
        <v>198</v>
      </c>
      <c r="AJ12" s="5" t="str">
        <f>INDEX('Nike pace chart'!$BO$9:$BO$16,MATCH('Nike training program_21k'!AI12,'Nike pace chart'!$BY$9:$BY$16,0))</f>
        <v>04:46</v>
      </c>
      <c r="AK12" s="99">
        <v>0.7</v>
      </c>
      <c r="AL12" s="28" t="s">
        <v>235</v>
      </c>
      <c r="AM12" s="5"/>
      <c r="AN12" s="27"/>
      <c r="AO12" s="5"/>
      <c r="AP12" s="27"/>
      <c r="AQ12" s="28"/>
      <c r="AR12" s="5"/>
      <c r="AS12" s="27"/>
      <c r="AT12" s="5"/>
      <c r="AU12" s="99"/>
      <c r="AV12" s="28"/>
      <c r="AW12" s="5"/>
      <c r="AX12" s="27"/>
      <c r="AY12" s="5"/>
      <c r="AZ12" s="27"/>
      <c r="BA12" s="28"/>
    </row>
    <row r="13" spans="2:53" outlineLevel="1" x14ac:dyDescent="0.25">
      <c r="B13" s="79"/>
      <c r="C13" s="5"/>
      <c r="D13" s="27"/>
      <c r="E13" s="5"/>
      <c r="F13" s="27"/>
      <c r="G13" s="5"/>
      <c r="H13" s="5"/>
      <c r="I13" s="46" t="s">
        <v>201</v>
      </c>
      <c r="J13" s="5" t="str">
        <f>INDEX('Nike pace chart'!$BO$9:$BO$16,MATCH('Nike training program_21k'!I13,'Nike pace chart'!$BY$9:$BY$16,0))</f>
        <v>05:39</v>
      </c>
      <c r="K13" s="99">
        <f>INDEX('Nike pace chart'!$BV$9:$BV$16,MATCH(I13,'Nike pace chart'!$BY$9:$BY$16,0))/1000*((_xlfn.TEXTBEFORE(L13,":")+_xlfn.TEXTAFTER(L13,":")/60))</f>
        <v>0.18</v>
      </c>
      <c r="L13" s="28" t="s">
        <v>225</v>
      </c>
      <c r="M13" s="5"/>
      <c r="N13" s="27"/>
      <c r="O13" s="5"/>
      <c r="P13" s="27"/>
      <c r="Q13" s="28"/>
      <c r="R13" s="5"/>
      <c r="S13" s="46" t="s">
        <v>201</v>
      </c>
      <c r="T13" s="5" t="str">
        <f>INDEX('Nike pace chart'!$BO$9:$BO$16,MATCH('Nike training program_21k'!S13,'Nike pace chart'!$BY$9:$BY$16,0))</f>
        <v>05:39</v>
      </c>
      <c r="U13" s="99">
        <f>INDEX('Nike pace chart'!$BV$9:$BV$16,MATCH(S13,'Nike pace chart'!$BY$9:$BY$16,0))/1000*((_xlfn.TEXTBEFORE(V13,":")+_xlfn.TEXTAFTER(V13,":")/60))</f>
        <v>0.13500000000000001</v>
      </c>
      <c r="V13" s="28" t="s">
        <v>229</v>
      </c>
      <c r="W13" s="5"/>
      <c r="X13" s="27"/>
      <c r="Y13" s="5"/>
      <c r="Z13" s="27"/>
      <c r="AA13" s="28"/>
      <c r="AB13" s="102">
        <v>1</v>
      </c>
      <c r="AC13" s="5"/>
      <c r="AD13" s="27"/>
      <c r="AE13" s="5"/>
      <c r="AF13" s="27"/>
      <c r="AG13" s="5"/>
      <c r="AH13" s="5"/>
      <c r="AI13" s="46" t="s">
        <v>201</v>
      </c>
      <c r="AJ13" s="5" t="str">
        <f>INDEX('Nike pace chart'!$BO$9:$BO$16,MATCH('Nike training program_21k'!AI13,'Nike pace chart'!$BY$9:$BY$16,0))</f>
        <v>05:39</v>
      </c>
      <c r="AK13" s="99">
        <v>0.2</v>
      </c>
      <c r="AL13" s="28" t="s">
        <v>225</v>
      </c>
      <c r="AM13" s="5"/>
      <c r="AN13" s="27"/>
      <c r="AO13" s="5"/>
      <c r="AP13" s="27"/>
      <c r="AQ13" s="28"/>
      <c r="AR13" s="5"/>
      <c r="AS13" s="27"/>
      <c r="AT13" s="5"/>
      <c r="AU13" s="99"/>
      <c r="AV13" s="28"/>
      <c r="AW13" s="5"/>
      <c r="AX13" s="27"/>
      <c r="AY13" s="5"/>
      <c r="AZ13" s="27"/>
      <c r="BA13" s="28"/>
    </row>
    <row r="14" spans="2:53" outlineLevel="1" x14ac:dyDescent="0.25">
      <c r="B14" s="79"/>
      <c r="C14" s="5"/>
      <c r="D14" s="27"/>
      <c r="E14" s="5"/>
      <c r="F14" s="27"/>
      <c r="G14" s="5"/>
      <c r="H14" s="5">
        <v>1</v>
      </c>
      <c r="I14" s="49" t="s">
        <v>195</v>
      </c>
      <c r="J14" s="5" t="str">
        <f>INDEX('Nike pace chart'!$BO$9:$BO$16,MATCH('Nike training program_21k'!I14,'Nike pace chart'!$BY$9:$BY$16,0))</f>
        <v>04:37</v>
      </c>
      <c r="K14" s="99">
        <f>INDEX('Nike pace chart'!$BV$9:$BV$16,MATCH(I14,'Nike pace chart'!$BY$9:$BY$16,0))/1000*((_xlfn.TEXTBEFORE(L14,":")+_xlfn.TEXTAFTER(L14,":")/60))</f>
        <v>0.44</v>
      </c>
      <c r="L14" s="28" t="s">
        <v>228</v>
      </c>
      <c r="M14" s="5"/>
      <c r="N14" s="27"/>
      <c r="O14" s="5"/>
      <c r="P14" s="27"/>
      <c r="Q14" s="28"/>
      <c r="R14" s="5">
        <v>1</v>
      </c>
      <c r="S14" s="45" t="s">
        <v>241</v>
      </c>
      <c r="T14" s="5" t="str">
        <f>INDEX('Nike pace chart'!$BO$9:$BO$16,MATCH('Nike training program_21k'!S14,'Nike pace chart'!$BY$9:$BY$16,0))</f>
        <v>04:25</v>
      </c>
      <c r="U14" s="99">
        <f>INDEX('Nike pace chart'!$BV$9:$BV$16,MATCH(S14,'Nike pace chart'!$BY$9:$BY$16,0))/1000*((_xlfn.TEXTBEFORE(V14,":")+_xlfn.TEXTAFTER(V14,":")/60))</f>
        <v>0.34500000000000003</v>
      </c>
      <c r="V14" s="28" t="s">
        <v>236</v>
      </c>
      <c r="W14" s="5"/>
      <c r="X14" s="27"/>
      <c r="Y14" s="5"/>
      <c r="Z14" s="27"/>
      <c r="AA14" s="28"/>
      <c r="AB14" s="102">
        <v>1</v>
      </c>
      <c r="AC14" s="5"/>
      <c r="AD14" s="27"/>
      <c r="AE14" s="5"/>
      <c r="AF14" s="27"/>
      <c r="AG14" s="5"/>
      <c r="AH14" s="5"/>
      <c r="AI14" s="27"/>
      <c r="AJ14" s="5"/>
      <c r="AK14" s="99"/>
      <c r="AL14" s="28"/>
      <c r="AM14" s="5"/>
      <c r="AN14" s="27"/>
      <c r="AO14" s="5"/>
      <c r="AP14" s="27"/>
      <c r="AQ14" s="28"/>
      <c r="AR14" s="5"/>
      <c r="AS14" s="27"/>
      <c r="AT14" s="5"/>
      <c r="AU14" s="99"/>
      <c r="AV14" s="28"/>
      <c r="AW14" s="5"/>
      <c r="AX14" s="27"/>
      <c r="AY14" s="5"/>
      <c r="AZ14" s="27"/>
      <c r="BA14" s="28"/>
    </row>
    <row r="15" spans="2:53" outlineLevel="1" x14ac:dyDescent="0.25">
      <c r="B15" s="79"/>
      <c r="C15" s="5"/>
      <c r="D15" s="27"/>
      <c r="E15" s="5"/>
      <c r="F15" s="27"/>
      <c r="G15" s="5"/>
      <c r="H15" s="5"/>
      <c r="I15" s="46" t="s">
        <v>201</v>
      </c>
      <c r="J15" s="5" t="str">
        <f>INDEX('Nike pace chart'!$BO$9:$BO$16,MATCH('Nike training program_21k'!I15,'Nike pace chart'!$BY$9:$BY$16,0))</f>
        <v>05:39</v>
      </c>
      <c r="K15" s="99">
        <f>INDEX('Nike pace chart'!$BV$9:$BV$16,MATCH(I15,'Nike pace chart'!$BY$9:$BY$16,0))/1000*((_xlfn.TEXTBEFORE(L15,":")+_xlfn.TEXTAFTER(L15,":")/60))</f>
        <v>0.18</v>
      </c>
      <c r="L15" s="28" t="s">
        <v>225</v>
      </c>
      <c r="M15" s="5"/>
      <c r="N15" s="27"/>
      <c r="O15" s="5"/>
      <c r="P15" s="27"/>
      <c r="Q15" s="28"/>
      <c r="R15" s="5"/>
      <c r="S15" s="46" t="s">
        <v>201</v>
      </c>
      <c r="T15" s="5" t="str">
        <f>INDEX('Nike pace chart'!$BO$9:$BO$16,MATCH('Nike training program_21k'!S15,'Nike pace chart'!$BY$9:$BY$16,0))</f>
        <v>05:39</v>
      </c>
      <c r="U15" s="99">
        <f>INDEX('Nike pace chart'!$BV$9:$BV$16,MATCH(S15,'Nike pace chart'!$BY$9:$BY$16,0))/1000*((_xlfn.TEXTBEFORE(V15,":")+_xlfn.TEXTAFTER(V15,":")/60))</f>
        <v>0.18</v>
      </c>
      <c r="V15" s="28" t="s">
        <v>225</v>
      </c>
      <c r="W15" s="5"/>
      <c r="X15" s="27"/>
      <c r="Y15" s="5"/>
      <c r="Z15" s="27"/>
      <c r="AA15" s="28"/>
      <c r="AB15" s="102">
        <v>1</v>
      </c>
      <c r="AC15" s="5"/>
      <c r="AD15" s="27"/>
      <c r="AE15" s="5"/>
      <c r="AF15" s="27"/>
      <c r="AG15" s="5"/>
      <c r="AH15" s="5"/>
      <c r="AI15" s="27"/>
      <c r="AJ15" s="5"/>
      <c r="AK15" s="99"/>
      <c r="AL15" s="28"/>
      <c r="AM15" s="5"/>
      <c r="AN15" s="27"/>
      <c r="AO15" s="5"/>
      <c r="AP15" s="27"/>
      <c r="AQ15" s="28"/>
      <c r="AR15" s="5"/>
      <c r="AS15" s="27"/>
      <c r="AT15" s="5"/>
      <c r="AU15" s="99"/>
      <c r="AV15" s="28"/>
      <c r="AW15" s="5"/>
      <c r="AX15" s="27"/>
      <c r="AY15" s="5"/>
      <c r="AZ15" s="27"/>
      <c r="BA15" s="28"/>
    </row>
    <row r="16" spans="2:53" outlineLevel="1" x14ac:dyDescent="0.25">
      <c r="B16" s="79"/>
      <c r="C16" s="5"/>
      <c r="D16" s="27"/>
      <c r="E16" s="5"/>
      <c r="F16" s="27"/>
      <c r="G16" s="5"/>
      <c r="H16" s="5">
        <v>1</v>
      </c>
      <c r="I16" s="45" t="s">
        <v>241</v>
      </c>
      <c r="J16" s="5" t="str">
        <f>INDEX('Nike pace chart'!$BO$9:$BO$16,MATCH('Nike training program_21k'!I16,'Nike pace chart'!$BY$9:$BY$16,0))</f>
        <v>04:25</v>
      </c>
      <c r="K16" s="99">
        <f>INDEX('Nike pace chart'!$BV$9:$BV$16,MATCH(I16,'Nike pace chart'!$BY$9:$BY$16,0))/1000*((_xlfn.TEXTBEFORE(L16,":")+_xlfn.TEXTAFTER(L16,":")/60))</f>
        <v>0.23</v>
      </c>
      <c r="L16" s="28" t="s">
        <v>225</v>
      </c>
      <c r="M16" s="5"/>
      <c r="N16" s="27"/>
      <c r="O16" s="5"/>
      <c r="P16" s="27"/>
      <c r="Q16" s="28"/>
      <c r="R16" s="5"/>
      <c r="S16" s="27"/>
      <c r="T16" s="5"/>
      <c r="U16" s="27"/>
      <c r="V16" s="28"/>
      <c r="W16" s="5"/>
      <c r="X16" s="27"/>
      <c r="Y16" s="5"/>
      <c r="Z16" s="27"/>
      <c r="AA16" s="28"/>
      <c r="AB16" s="102">
        <v>1</v>
      </c>
      <c r="AC16" s="5"/>
      <c r="AD16" s="27"/>
      <c r="AE16" s="5"/>
      <c r="AF16" s="27"/>
      <c r="AG16" s="5"/>
      <c r="AH16" s="5"/>
      <c r="AI16" s="27"/>
      <c r="AJ16" s="5"/>
      <c r="AK16" s="99"/>
      <c r="AL16" s="28"/>
      <c r="AM16" s="5"/>
      <c r="AN16" s="27"/>
      <c r="AO16" s="5"/>
      <c r="AP16" s="27"/>
      <c r="AQ16" s="28"/>
      <c r="AR16" s="5"/>
      <c r="AS16" s="27"/>
      <c r="AT16" s="5"/>
      <c r="AU16" s="99"/>
      <c r="AV16" s="28"/>
      <c r="AW16" s="5"/>
      <c r="AX16" s="27"/>
      <c r="AY16" s="5"/>
      <c r="AZ16" s="27"/>
      <c r="BA16" s="28"/>
    </row>
    <row r="17" spans="2:53" outlineLevel="1" x14ac:dyDescent="0.25">
      <c r="B17" s="4" t="s">
        <v>592</v>
      </c>
      <c r="C17" s="5">
        <v>1</v>
      </c>
      <c r="D17" s="46" t="s">
        <v>201</v>
      </c>
      <c r="E17" s="5" t="str">
        <f>INDEX('Nike pace chart'!$BO$9:$BO$16,MATCH('Nike training program_21k'!D17,'Nike pace chart'!$BY$9:$BY$16,0))</f>
        <v>05:39</v>
      </c>
      <c r="F17" s="99">
        <f>INDEX('Nike pace chart'!$BV$9:$BV$16,MATCH(D17,'Nike pace chart'!$BY$9:$BY$16,0))/1000*((_xlfn.TEXTBEFORE(G17,":")+_xlfn.TEXTAFTER(G17,":")/60))</f>
        <v>2.6999999999999997</v>
      </c>
      <c r="G17" s="28" t="s">
        <v>233</v>
      </c>
      <c r="H17" s="5">
        <v>1</v>
      </c>
      <c r="I17" s="51" t="s">
        <v>591</v>
      </c>
      <c r="J17" s="5" t="s">
        <v>223</v>
      </c>
      <c r="K17" s="99"/>
      <c r="L17" s="28" t="s">
        <v>227</v>
      </c>
      <c r="M17" s="5">
        <v>1</v>
      </c>
      <c r="N17" s="46" t="s">
        <v>201</v>
      </c>
      <c r="O17" s="5" t="str">
        <f>INDEX('Nike pace chart'!$BO$9:$BO$16,MATCH('Nike training program_21k'!N17,'Nike pace chart'!$BY$9:$BY$16,0))</f>
        <v>05:39</v>
      </c>
      <c r="P17" s="99">
        <f>INDEX('Nike pace chart'!$BV$9:$BV$16,MATCH(N17,'Nike pace chart'!$BY$9:$BY$16,0))/1000*((_xlfn.TEXTBEFORE(Q17,":")+_xlfn.TEXTAFTER(Q17,":")/60))</f>
        <v>5.3999999999999995</v>
      </c>
      <c r="Q17" s="28" t="s">
        <v>112</v>
      </c>
      <c r="R17" s="5">
        <v>1</v>
      </c>
      <c r="S17" s="27" t="s">
        <v>255</v>
      </c>
      <c r="T17" s="5" t="s">
        <v>223</v>
      </c>
      <c r="U17" s="27" t="s">
        <v>223</v>
      </c>
      <c r="V17" s="28" t="s">
        <v>227</v>
      </c>
      <c r="W17" s="5">
        <v>1</v>
      </c>
      <c r="X17" s="45" t="s">
        <v>241</v>
      </c>
      <c r="Y17" s="5" t="str">
        <f>INDEX('Nike pace chart'!$BO$9:$BO$16,MATCH('Nike training program_21k'!X17,'Nike pace chart'!$BY$9:$BY$16,0))</f>
        <v>04:25</v>
      </c>
      <c r="Z17" s="27">
        <v>8</v>
      </c>
      <c r="AA17" s="28" t="s">
        <v>223</v>
      </c>
      <c r="AB17" s="102">
        <v>1</v>
      </c>
      <c r="AC17" s="5">
        <v>1</v>
      </c>
      <c r="AD17" s="46" t="s">
        <v>201</v>
      </c>
      <c r="AE17" s="5" t="str">
        <f>INDEX('Nike pace chart'!$BO$9:$BO$16,MATCH('Nike training program_21k'!AD17,'Nike pace chart'!$BY$9:$BY$16,0))</f>
        <v>05:39</v>
      </c>
      <c r="AF17" s="27">
        <v>2.6</v>
      </c>
      <c r="AG17" s="28" t="s">
        <v>233</v>
      </c>
      <c r="AH17" s="5">
        <v>5</v>
      </c>
      <c r="AI17" s="51" t="s">
        <v>591</v>
      </c>
      <c r="AJ17" s="5" t="s">
        <v>223</v>
      </c>
      <c r="AK17" s="99"/>
      <c r="AL17" s="28" t="s">
        <v>227</v>
      </c>
      <c r="AM17" s="5">
        <v>1</v>
      </c>
      <c r="AN17" s="46" t="s">
        <v>201</v>
      </c>
      <c r="AO17" s="5" t="str">
        <f>INDEX('Nike pace chart'!$BO$9:$BO$16,MATCH('Nike training program_21k'!AN17,'Nike pace chart'!$BY$9:$BY$16,0))</f>
        <v>05:39</v>
      </c>
      <c r="AP17" s="27">
        <v>5.0999999999999996</v>
      </c>
      <c r="AQ17" s="28" t="s">
        <v>112</v>
      </c>
      <c r="AR17" s="5">
        <v>1</v>
      </c>
      <c r="AS17" s="27" t="s">
        <v>255</v>
      </c>
      <c r="AT17" s="5" t="s">
        <v>223</v>
      </c>
      <c r="AU17" s="99" t="s">
        <v>223</v>
      </c>
      <c r="AV17" s="28" t="s">
        <v>227</v>
      </c>
      <c r="AW17" s="5">
        <v>1</v>
      </c>
      <c r="AX17" s="45" t="s">
        <v>241</v>
      </c>
      <c r="AY17" s="5"/>
      <c r="AZ17" s="27">
        <v>8</v>
      </c>
      <c r="BA17" s="28" t="s">
        <v>223</v>
      </c>
    </row>
    <row r="18" spans="2:53" outlineLevel="1" x14ac:dyDescent="0.25">
      <c r="B18" s="79"/>
      <c r="C18" s="5"/>
      <c r="D18" s="27"/>
      <c r="E18" s="5"/>
      <c r="F18" s="27"/>
      <c r="G18" s="5"/>
      <c r="H18" s="5">
        <v>5</v>
      </c>
      <c r="I18" s="48" t="s">
        <v>198</v>
      </c>
      <c r="J18" s="5" t="str">
        <f>INDEX('Nike pace chart'!$BO$9:$BO$16,MATCH('Nike training program_21k'!I18,'Nike pace chart'!$BY$9:$BY$16,0))</f>
        <v>04:46</v>
      </c>
      <c r="K18" s="99">
        <f>INDEX('Nike pace chart'!$BV$9:$BV$16,MATCH(I18,'Nike pace chart'!$BY$9:$BY$16,0))/1000*((_xlfn.TEXTBEFORE(L18,":")+_xlfn.TEXTAFTER(L18,":")/60))</f>
        <v>0.1575</v>
      </c>
      <c r="L18" s="28" t="s">
        <v>229</v>
      </c>
      <c r="M18" s="5"/>
      <c r="N18" s="27"/>
      <c r="O18" s="5"/>
      <c r="P18" s="27"/>
      <c r="Q18" s="28"/>
      <c r="R18" s="5">
        <v>7</v>
      </c>
      <c r="S18" s="49" t="s">
        <v>195</v>
      </c>
      <c r="T18" s="5" t="str">
        <f>INDEX('Nike pace chart'!$BO$9:$BO$16,MATCH('Nike training program_21k'!S18,'Nike pace chart'!$BY$9:$BY$16,0))</f>
        <v>04:37</v>
      </c>
      <c r="U18" s="99">
        <f>INDEX('Nike pace chart'!$BV$9:$BV$16,MATCH(S18,'Nike pace chart'!$BY$9:$BY$16,0))/1000*((_xlfn.TEXTBEFORE(V18,":")+_xlfn.TEXTAFTER(V18,":")/60))</f>
        <v>1.54</v>
      </c>
      <c r="V18" s="28" t="s">
        <v>244</v>
      </c>
      <c r="W18" s="5"/>
      <c r="X18" s="27"/>
      <c r="Y18" s="5"/>
      <c r="Z18" s="27"/>
      <c r="AA18" s="28"/>
      <c r="AB18" s="102">
        <v>1</v>
      </c>
      <c r="AC18" s="5"/>
      <c r="AD18" s="27"/>
      <c r="AE18" s="5"/>
      <c r="AF18" s="27"/>
      <c r="AG18" s="5"/>
      <c r="AH18" s="5"/>
      <c r="AI18" s="48" t="s">
        <v>198</v>
      </c>
      <c r="AJ18" s="5" t="str">
        <f>INDEX('Nike pace chart'!$BO$9:$BO$16,MATCH('Nike training program_21k'!AI18,'Nike pace chart'!$BY$9:$BY$16,0))</f>
        <v>04:46</v>
      </c>
      <c r="AK18" s="99">
        <v>0.2</v>
      </c>
      <c r="AL18" s="28" t="s">
        <v>229</v>
      </c>
      <c r="AM18" s="5"/>
      <c r="AN18" s="27"/>
      <c r="AO18" s="5"/>
      <c r="AP18" s="27"/>
      <c r="AQ18" s="28"/>
      <c r="AR18" s="5">
        <v>3</v>
      </c>
      <c r="AS18" s="49" t="s">
        <v>195</v>
      </c>
      <c r="AT18" s="5" t="str">
        <f>INDEX('Nike pace chart'!$BO$9:$BO$16,MATCH('Nike training program_21k'!AS18,'Nike pace chart'!$BY$9:$BY$16,0))</f>
        <v>04:37</v>
      </c>
      <c r="AU18" s="99">
        <v>1.5</v>
      </c>
      <c r="AV18" s="28" t="s">
        <v>244</v>
      </c>
      <c r="AW18" s="5"/>
      <c r="AX18" s="27"/>
      <c r="AY18" s="5"/>
      <c r="AZ18" s="27"/>
      <c r="BA18" s="28"/>
    </row>
    <row r="19" spans="2:53" outlineLevel="1" x14ac:dyDescent="0.25">
      <c r="B19" s="79"/>
      <c r="C19" s="5"/>
      <c r="D19" s="27"/>
      <c r="E19" s="5"/>
      <c r="F19" s="27"/>
      <c r="G19" s="5"/>
      <c r="H19" s="5"/>
      <c r="I19" s="46" t="s">
        <v>201</v>
      </c>
      <c r="J19" s="5" t="str">
        <f>INDEX('Nike pace chart'!$BO$9:$BO$16,MATCH('Nike training program_21k'!I19,'Nike pace chart'!$BY$9:$BY$16,0))</f>
        <v>05:39</v>
      </c>
      <c r="K19" s="99">
        <f>INDEX('Nike pace chart'!$BV$9:$BV$16,MATCH(I19,'Nike pace chart'!$BY$9:$BY$16,0))/1000*((_xlfn.TEXTBEFORE(L19,":")+_xlfn.TEXTAFTER(L19,":")/60))</f>
        <v>0.22499999999999998</v>
      </c>
      <c r="L19" s="28" t="s">
        <v>265</v>
      </c>
      <c r="M19" s="5"/>
      <c r="N19" s="27"/>
      <c r="O19" s="5"/>
      <c r="P19" s="27"/>
      <c r="Q19" s="28"/>
      <c r="R19" s="5"/>
      <c r="S19" s="46" t="s">
        <v>201</v>
      </c>
      <c r="T19" s="5" t="str">
        <f>INDEX('Nike pace chart'!$BO$9:$BO$16,MATCH('Nike training program_21k'!S19,'Nike pace chart'!$BY$9:$BY$16,0))</f>
        <v>05:39</v>
      </c>
      <c r="U19" s="99">
        <f>INDEX('Nike pace chart'!$BV$9:$BV$16,MATCH(S19,'Nike pace chart'!$BY$9:$BY$16,0))/1000*((_xlfn.TEXTBEFORE(V19,":")+_xlfn.TEXTAFTER(V19,":")/60))</f>
        <v>0.44999999999999996</v>
      </c>
      <c r="V19" s="28" t="s">
        <v>240</v>
      </c>
      <c r="W19" s="5"/>
      <c r="X19" s="27"/>
      <c r="Y19" s="5"/>
      <c r="Z19" s="27"/>
      <c r="AA19" s="28"/>
      <c r="AB19" s="102">
        <v>1</v>
      </c>
      <c r="AC19" s="5"/>
      <c r="AD19" s="27"/>
      <c r="AE19" s="5"/>
      <c r="AF19" s="27"/>
      <c r="AG19" s="5"/>
      <c r="AH19" s="5"/>
      <c r="AI19" s="46" t="s">
        <v>201</v>
      </c>
      <c r="AJ19" s="5" t="str">
        <f>INDEX('Nike pace chart'!$BO$9:$BO$16,MATCH('Nike training program_21k'!AI19,'Nike pace chart'!$BY$9:$BY$16,0))</f>
        <v>05:39</v>
      </c>
      <c r="AK19" s="99">
        <v>0.2</v>
      </c>
      <c r="AL19" s="28" t="s">
        <v>265</v>
      </c>
      <c r="AM19" s="5"/>
      <c r="AN19" s="27"/>
      <c r="AO19" s="5"/>
      <c r="AP19" s="27"/>
      <c r="AQ19" s="28"/>
      <c r="AR19" s="5"/>
      <c r="AS19" s="46" t="s">
        <v>201</v>
      </c>
      <c r="AT19" s="5" t="str">
        <f>INDEX('Nike pace chart'!$BO$9:$BO$16,MATCH('Nike training program_21k'!AS19,'Nike pace chart'!$BY$9:$BY$16,0))</f>
        <v>05:39</v>
      </c>
      <c r="AU19" s="99">
        <v>0.4</v>
      </c>
      <c r="AV19" s="28" t="s">
        <v>240</v>
      </c>
      <c r="AW19" s="5"/>
      <c r="AX19" s="27"/>
      <c r="AY19" s="5"/>
      <c r="AZ19" s="27"/>
      <c r="BA19" s="28"/>
    </row>
    <row r="20" spans="2:53" outlineLevel="1" x14ac:dyDescent="0.25">
      <c r="B20" s="79"/>
      <c r="C20" s="5"/>
      <c r="D20" s="27"/>
      <c r="E20" s="5"/>
      <c r="F20" s="27"/>
      <c r="G20" s="5"/>
      <c r="H20" s="5"/>
      <c r="I20" s="51" t="s">
        <v>203</v>
      </c>
      <c r="J20" s="5" t="str">
        <f>INDEX('Nike pace chart'!$BO$9:$BO$16,MATCH('Nike training program_21k'!I20,'Nike pace chart'!$BY$9:$BY$16,0))</f>
        <v>04:13</v>
      </c>
      <c r="K20" s="99">
        <f>INDEX('Nike pace chart'!$BV$9:$BV$16,MATCH(I20,'Nike pace chart'!$BY$9:$BY$16,0))/1000*((_xlfn.TEXTBEFORE(L20,":")+_xlfn.TEXTAFTER(L20,":")/60))</f>
        <v>0.06</v>
      </c>
      <c r="L20" s="28" t="s">
        <v>231</v>
      </c>
      <c r="M20" s="5"/>
      <c r="N20" s="27"/>
      <c r="O20" s="5"/>
      <c r="P20" s="27"/>
      <c r="Q20" s="28"/>
      <c r="R20" s="5"/>
      <c r="S20" s="27"/>
      <c r="T20" s="5"/>
      <c r="U20" s="27"/>
      <c r="V20" s="28"/>
      <c r="W20" s="5"/>
      <c r="X20" s="27"/>
      <c r="Y20" s="5"/>
      <c r="Z20" s="27"/>
      <c r="AA20" s="28"/>
      <c r="AB20" s="102">
        <v>1</v>
      </c>
      <c r="AC20" s="5"/>
      <c r="AD20" s="27"/>
      <c r="AE20" s="5"/>
      <c r="AF20" s="27"/>
      <c r="AG20" s="5"/>
      <c r="AH20" s="5"/>
      <c r="AI20" s="51" t="s">
        <v>203</v>
      </c>
      <c r="AJ20" s="5" t="str">
        <f>INDEX('Nike pace chart'!$BO$9:$BO$16,MATCH('Nike training program_21k'!AI20,'Nike pace chart'!$BY$9:$BY$16,0))</f>
        <v>04:13</v>
      </c>
      <c r="AK20" s="99">
        <v>0.05</v>
      </c>
      <c r="AL20" s="28" t="s">
        <v>231</v>
      </c>
      <c r="AM20" s="5"/>
      <c r="AN20" s="27"/>
      <c r="AO20" s="5"/>
      <c r="AP20" s="27"/>
      <c r="AQ20" s="28"/>
      <c r="AR20" s="5"/>
      <c r="AS20" s="27"/>
      <c r="AT20" s="5"/>
      <c r="AU20" s="99"/>
      <c r="AV20" s="28"/>
      <c r="AW20" s="5"/>
      <c r="AX20" s="27"/>
      <c r="AY20" s="5"/>
      <c r="AZ20" s="27"/>
      <c r="BA20" s="28"/>
    </row>
    <row r="21" spans="2:53" outlineLevel="1" x14ac:dyDescent="0.25">
      <c r="B21" s="79"/>
      <c r="C21" s="5"/>
      <c r="D21" s="27"/>
      <c r="E21" s="5"/>
      <c r="F21" s="27"/>
      <c r="G21" s="5"/>
      <c r="H21" s="5"/>
      <c r="I21" s="46" t="s">
        <v>201</v>
      </c>
      <c r="J21" s="5" t="str">
        <f>INDEX('Nike pace chart'!$BO$9:$BO$16,MATCH('Nike training program_21k'!I21,'Nike pace chart'!$BY$9:$BY$16,0))</f>
        <v>05:39</v>
      </c>
      <c r="K21" s="99">
        <f>INDEX('Nike pace chart'!$BV$9:$BV$16,MATCH(I21,'Nike pace chart'!$BY$9:$BY$16,0))/1000*((_xlfn.TEXTBEFORE(L21,":")+_xlfn.TEXTAFTER(L21,":")/60))</f>
        <v>0.13500000000000001</v>
      </c>
      <c r="L21" s="28" t="s">
        <v>229</v>
      </c>
      <c r="M21" s="5"/>
      <c r="N21" s="27"/>
      <c r="O21" s="5"/>
      <c r="P21" s="27"/>
      <c r="Q21" s="28"/>
      <c r="R21" s="5"/>
      <c r="S21" s="27"/>
      <c r="T21" s="5"/>
      <c r="U21" s="27"/>
      <c r="V21" s="28"/>
      <c r="W21" s="5"/>
      <c r="X21" s="27"/>
      <c r="Y21" s="5"/>
      <c r="Z21" s="27"/>
      <c r="AA21" s="28"/>
      <c r="AB21" s="102">
        <v>1</v>
      </c>
      <c r="AC21" s="5"/>
      <c r="AD21" s="27"/>
      <c r="AE21" s="5"/>
      <c r="AF21" s="27"/>
      <c r="AG21" s="5"/>
      <c r="AH21" s="5"/>
      <c r="AI21" s="46" t="s">
        <v>201</v>
      </c>
      <c r="AJ21" s="5" t="str">
        <f>INDEX('Nike pace chart'!$BO$9:$BO$16,MATCH('Nike training program_21k'!AI21,'Nike pace chart'!$BY$9:$BY$16,0))</f>
        <v>05:39</v>
      </c>
      <c r="AK21" s="99">
        <v>0.15</v>
      </c>
      <c r="AL21" s="28" t="s">
        <v>229</v>
      </c>
      <c r="AM21" s="5"/>
      <c r="AN21" s="27"/>
      <c r="AO21" s="5"/>
      <c r="AP21" s="27"/>
      <c r="AQ21" s="28"/>
      <c r="AR21" s="5"/>
      <c r="AS21" s="27"/>
      <c r="AT21" s="5"/>
      <c r="AU21" s="99"/>
      <c r="AV21" s="28"/>
      <c r="AW21" s="5"/>
      <c r="AX21" s="27"/>
      <c r="AY21" s="5"/>
      <c r="AZ21" s="27"/>
      <c r="BA21" s="28"/>
    </row>
    <row r="22" spans="2:53" outlineLevel="1" x14ac:dyDescent="0.25">
      <c r="B22" s="4" t="s">
        <v>593</v>
      </c>
      <c r="C22" s="5">
        <v>1</v>
      </c>
      <c r="D22" s="46" t="s">
        <v>201</v>
      </c>
      <c r="E22" s="5" t="str">
        <f>INDEX('Nike pace chart'!$BO$9:$BO$16,MATCH('Nike training program_21k'!D22,'Nike pace chart'!$BY$9:$BY$16,0))</f>
        <v>05:39</v>
      </c>
      <c r="F22" s="99">
        <f>INDEX('Nike pace chart'!$BV$9:$BV$16,MATCH(D22,'Nike pace chart'!$BY$9:$BY$16,0))/1000*((_xlfn.TEXTBEFORE(G22,":")+_xlfn.TEXTAFTER(G22,":")/60))</f>
        <v>2.6999999999999997</v>
      </c>
      <c r="G22" s="28" t="s">
        <v>233</v>
      </c>
      <c r="H22" s="5">
        <v>1</v>
      </c>
      <c r="I22" s="27" t="s">
        <v>255</v>
      </c>
      <c r="J22" s="5" t="s">
        <v>223</v>
      </c>
      <c r="K22" s="99"/>
      <c r="L22" s="28" t="s">
        <v>227</v>
      </c>
      <c r="M22" s="5">
        <v>1</v>
      </c>
      <c r="N22" s="46" t="s">
        <v>201</v>
      </c>
      <c r="O22" s="5" t="str">
        <f>INDEX('Nike pace chart'!$BO$9:$BO$16,MATCH('Nike training program_21k'!N22,'Nike pace chart'!$BY$9:$BY$16,0))</f>
        <v>05:39</v>
      </c>
      <c r="P22" s="99">
        <f>INDEX('Nike pace chart'!$BV$9:$BV$16,MATCH(N22,'Nike pace chart'!$BY$9:$BY$16,0))/1000*((_xlfn.TEXTBEFORE(Q22,":")+_xlfn.TEXTAFTER(Q22,":")/60))</f>
        <v>7.1999999999999993</v>
      </c>
      <c r="Q22" s="28" t="s">
        <v>243</v>
      </c>
      <c r="R22" s="5">
        <v>1</v>
      </c>
      <c r="S22" s="27" t="s">
        <v>255</v>
      </c>
      <c r="T22" s="5" t="s">
        <v>223</v>
      </c>
      <c r="U22" s="27" t="s">
        <v>223</v>
      </c>
      <c r="V22" s="28" t="s">
        <v>244</v>
      </c>
      <c r="W22" s="5">
        <v>1</v>
      </c>
      <c r="X22" s="45" t="s">
        <v>241</v>
      </c>
      <c r="Y22" s="5" t="str">
        <f>INDEX('Nike pace chart'!$BO$9:$BO$16,MATCH('Nike training program_21k'!X22,'Nike pace chart'!$BY$9:$BY$16,0))</f>
        <v>04:25</v>
      </c>
      <c r="Z22" s="27">
        <v>10</v>
      </c>
      <c r="AA22" s="28" t="s">
        <v>223</v>
      </c>
      <c r="AB22" s="102">
        <v>1</v>
      </c>
      <c r="AC22" s="5">
        <v>1</v>
      </c>
      <c r="AD22" s="46" t="s">
        <v>201</v>
      </c>
      <c r="AE22" s="5" t="str">
        <f>INDEX('Nike pace chart'!$BO$9:$BO$16,MATCH('Nike training program_21k'!AD22,'Nike pace chart'!$BY$9:$BY$16,0))</f>
        <v>05:39</v>
      </c>
      <c r="AF22" s="27">
        <v>2.6</v>
      </c>
      <c r="AG22" s="28" t="s">
        <v>233</v>
      </c>
      <c r="AH22" s="5">
        <v>1</v>
      </c>
      <c r="AI22" s="27" t="s">
        <v>255</v>
      </c>
      <c r="AJ22" s="5" t="s">
        <v>223</v>
      </c>
      <c r="AK22" s="99"/>
      <c r="AL22" s="28" t="s">
        <v>227</v>
      </c>
      <c r="AM22" s="5">
        <v>1</v>
      </c>
      <c r="AN22" s="46" t="s">
        <v>201</v>
      </c>
      <c r="AO22" s="5" t="str">
        <f>INDEX('Nike pace chart'!$BO$9:$BO$16,MATCH('Nike training program_21k'!AN22,'Nike pace chart'!$BY$9:$BY$16,0))</f>
        <v>05:39</v>
      </c>
      <c r="AP22" s="27">
        <v>6.8</v>
      </c>
      <c r="AQ22" s="28" t="s">
        <v>243</v>
      </c>
      <c r="AR22" s="5">
        <v>1</v>
      </c>
      <c r="AS22" s="27" t="s">
        <v>255</v>
      </c>
      <c r="AT22" s="5" t="s">
        <v>223</v>
      </c>
      <c r="AU22" s="99" t="s">
        <v>223</v>
      </c>
      <c r="AV22" s="28" t="s">
        <v>244</v>
      </c>
      <c r="AW22" s="5">
        <v>1</v>
      </c>
      <c r="AX22" s="45" t="s">
        <v>241</v>
      </c>
      <c r="AY22" s="5"/>
      <c r="AZ22" s="27">
        <v>10</v>
      </c>
      <c r="BA22" s="28" t="s">
        <v>223</v>
      </c>
    </row>
    <row r="23" spans="2:53" outlineLevel="1" x14ac:dyDescent="0.25">
      <c r="B23" s="79"/>
      <c r="C23" s="5"/>
      <c r="D23" s="27"/>
      <c r="E23" s="5"/>
      <c r="F23" s="27"/>
      <c r="G23" s="5"/>
      <c r="H23" s="5">
        <v>3</v>
      </c>
      <c r="I23" s="45" t="s">
        <v>241</v>
      </c>
      <c r="J23" s="5" t="str">
        <f>INDEX('Nike pace chart'!$BO$9:$BO$16,MATCH('Nike training program_21k'!I23,'Nike pace chart'!$BY$9:$BY$16,0))</f>
        <v>04:25</v>
      </c>
      <c r="K23" s="99">
        <f>INDEX('Nike pace chart'!$BV$9:$BV$16,MATCH(I23,'Nike pace chart'!$BY$9:$BY$16,0))/1000*((_xlfn.TEXTBEFORE(L23,":")+_xlfn.TEXTAFTER(L23,":")/60))</f>
        <v>0.23</v>
      </c>
      <c r="L23" s="28" t="s">
        <v>225</v>
      </c>
      <c r="M23" s="5"/>
      <c r="N23" s="27"/>
      <c r="O23" s="5"/>
      <c r="P23" s="27"/>
      <c r="Q23" s="28"/>
      <c r="R23" s="5">
        <v>1</v>
      </c>
      <c r="S23" s="52" t="s">
        <v>202</v>
      </c>
      <c r="T23" s="5" t="str">
        <f>INDEX('Nike pace chart'!$BO$9:$BO$16,MATCH('Nike training program_21k'!S23,'Nike pace chart'!$BY$9:$BY$16,0))</f>
        <v>04:59</v>
      </c>
      <c r="U23" s="99">
        <f>INDEX('Nike pace chart'!$BV$9:$BV$16,MATCH(S23,'Nike pace chart'!$BY$9:$BY$16,0))/1000*((_xlfn.TEXTBEFORE(V23,":")+_xlfn.TEXTAFTER(V23,":")/60))</f>
        <v>5</v>
      </c>
      <c r="V23" s="28" t="s">
        <v>226</v>
      </c>
      <c r="W23" s="5"/>
      <c r="X23" s="27"/>
      <c r="Y23" s="5"/>
      <c r="Z23" s="27"/>
      <c r="AA23" s="28"/>
      <c r="AB23" s="102">
        <v>1</v>
      </c>
      <c r="AC23" s="5"/>
      <c r="AD23" s="27"/>
      <c r="AE23" s="5"/>
      <c r="AF23" s="27"/>
      <c r="AG23" s="5"/>
      <c r="AH23" s="5">
        <v>6</v>
      </c>
      <c r="AI23" s="45" t="s">
        <v>241</v>
      </c>
      <c r="AJ23" s="5" t="str">
        <f>INDEX('Nike pace chart'!$BO$9:$BO$16,MATCH('Nike training program_21k'!AI23,'Nike pace chart'!$BY$9:$BY$16,0))</f>
        <v>04:25</v>
      </c>
      <c r="AK23" s="99">
        <v>0.25</v>
      </c>
      <c r="AL23" s="28" t="s">
        <v>225</v>
      </c>
      <c r="AM23" s="5"/>
      <c r="AN23" s="27"/>
      <c r="AO23" s="5"/>
      <c r="AP23" s="27"/>
      <c r="AQ23" s="28"/>
      <c r="AR23" s="5">
        <v>1</v>
      </c>
      <c r="AS23" s="52" t="s">
        <v>202</v>
      </c>
      <c r="AT23" s="131">
        <v>0.22222222222222221</v>
      </c>
      <c r="AU23" s="99">
        <v>1</v>
      </c>
      <c r="AV23" s="28" t="s">
        <v>226</v>
      </c>
      <c r="AW23" s="5"/>
      <c r="AX23" s="27"/>
      <c r="AY23" s="5"/>
      <c r="AZ23" s="27"/>
      <c r="BA23" s="28"/>
    </row>
    <row r="24" spans="2:53" outlineLevel="1" x14ac:dyDescent="0.25">
      <c r="B24" s="79"/>
      <c r="C24" s="5"/>
      <c r="D24" s="27"/>
      <c r="E24" s="5"/>
      <c r="F24" s="27"/>
      <c r="G24" s="5"/>
      <c r="H24" s="5"/>
      <c r="I24" s="46" t="s">
        <v>201</v>
      </c>
      <c r="J24" s="5" t="str">
        <f>INDEX('Nike pace chart'!$BO$9:$BO$16,MATCH('Nike training program_21k'!I24,'Nike pace chart'!$BY$9:$BY$16,0))</f>
        <v>05:39</v>
      </c>
      <c r="K24" s="99">
        <f>INDEX('Nike pace chart'!$BV$9:$BV$16,MATCH(I24,'Nike pace chart'!$BY$9:$BY$16,0))/1000*((_xlfn.TEXTBEFORE(L24,":")+_xlfn.TEXTAFTER(L24,":")/60))</f>
        <v>0.18</v>
      </c>
      <c r="L24" s="28" t="s">
        <v>225</v>
      </c>
      <c r="M24" s="5"/>
      <c r="N24" s="27"/>
      <c r="O24" s="5"/>
      <c r="P24" s="27"/>
      <c r="Q24" s="28"/>
      <c r="R24" s="5"/>
      <c r="S24" s="27"/>
      <c r="T24" s="5"/>
      <c r="U24" s="27"/>
      <c r="V24" s="28"/>
      <c r="W24" s="5"/>
      <c r="X24" s="27"/>
      <c r="Y24" s="5"/>
      <c r="Z24" s="27"/>
      <c r="AA24" s="28"/>
      <c r="AB24" s="102">
        <v>1</v>
      </c>
      <c r="AC24" s="5"/>
      <c r="AD24" s="27"/>
      <c r="AE24" s="5"/>
      <c r="AF24" s="27"/>
      <c r="AG24" s="5"/>
      <c r="AH24" s="5"/>
      <c r="AI24" s="46" t="s">
        <v>201</v>
      </c>
      <c r="AJ24" s="5" t="str">
        <f>INDEX('Nike pace chart'!$BO$9:$BO$16,MATCH('Nike training program_21k'!AI24,'Nike pace chart'!$BY$9:$BY$16,0))</f>
        <v>05:39</v>
      </c>
      <c r="AK24" s="99">
        <v>0.15</v>
      </c>
      <c r="AL24" s="28" t="s">
        <v>225</v>
      </c>
      <c r="AM24" s="5"/>
      <c r="AN24" s="27"/>
      <c r="AO24" s="5"/>
      <c r="AP24" s="27"/>
      <c r="AQ24" s="28"/>
      <c r="AR24" s="5"/>
      <c r="AS24" s="27"/>
      <c r="AT24" s="131">
        <v>0.21527777777777779</v>
      </c>
      <c r="AU24" s="99">
        <v>1</v>
      </c>
      <c r="AV24" s="28"/>
      <c r="AW24" s="5"/>
      <c r="AX24" s="27"/>
      <c r="AY24" s="5"/>
      <c r="AZ24" s="27"/>
      <c r="BA24" s="28"/>
    </row>
    <row r="25" spans="2:53" outlineLevel="1" x14ac:dyDescent="0.25">
      <c r="B25" s="79"/>
      <c r="C25" s="5"/>
      <c r="D25" s="27"/>
      <c r="E25" s="5"/>
      <c r="F25" s="27"/>
      <c r="G25" s="5"/>
      <c r="H25" s="5">
        <v>3</v>
      </c>
      <c r="I25" s="49" t="s">
        <v>195</v>
      </c>
      <c r="J25" s="5" t="str">
        <f>INDEX('Nike pace chart'!$BO$9:$BO$16,MATCH('Nike training program_21k'!I25,'Nike pace chart'!$BY$9:$BY$16,0))</f>
        <v>04:37</v>
      </c>
      <c r="K25" s="99">
        <f>INDEX('Nike pace chart'!$BV$9:$BV$16,MATCH(I25,'Nike pace chart'!$BY$9:$BY$16,0))/1000*((_xlfn.TEXTBEFORE(L25,":")+_xlfn.TEXTAFTER(L25,":")/60))</f>
        <v>0.44</v>
      </c>
      <c r="L25" s="28" t="s">
        <v>228</v>
      </c>
      <c r="M25" s="5"/>
      <c r="N25" s="27"/>
      <c r="O25" s="5"/>
      <c r="P25" s="27"/>
      <c r="Q25" s="28"/>
      <c r="R25" s="5"/>
      <c r="S25" s="27"/>
      <c r="T25" s="5"/>
      <c r="U25" s="27"/>
      <c r="V25" s="28"/>
      <c r="W25" s="5"/>
      <c r="X25" s="27"/>
      <c r="Y25" s="5"/>
      <c r="Z25" s="27"/>
      <c r="AA25" s="28"/>
      <c r="AB25" s="102">
        <v>1</v>
      </c>
      <c r="AC25" s="5"/>
      <c r="AD25" s="27"/>
      <c r="AE25" s="5"/>
      <c r="AF25" s="27"/>
      <c r="AG25" s="5"/>
      <c r="AH25" s="5">
        <v>6</v>
      </c>
      <c r="AI25" s="49" t="s">
        <v>195</v>
      </c>
      <c r="AJ25" s="5" t="str">
        <f>INDEX('Nike pace chart'!$BO$9:$BO$16,MATCH('Nike training program_21k'!AI25,'Nike pace chart'!$BY$9:$BY$16,0))</f>
        <v>04:37</v>
      </c>
      <c r="AK25" s="99">
        <v>0.4</v>
      </c>
      <c r="AL25" s="28" t="s">
        <v>228</v>
      </c>
      <c r="AM25" s="5"/>
      <c r="AN25" s="27"/>
      <c r="AO25" s="5"/>
      <c r="AP25" s="27"/>
      <c r="AQ25" s="28"/>
      <c r="AR25" s="5"/>
      <c r="AS25" s="27"/>
      <c r="AT25" s="131">
        <v>0.20833333333333334</v>
      </c>
      <c r="AU25" s="99">
        <v>1</v>
      </c>
      <c r="AV25" s="28"/>
      <c r="AW25" s="5"/>
      <c r="AX25" s="27"/>
      <c r="AY25" s="5"/>
      <c r="AZ25" s="27"/>
      <c r="BA25" s="28"/>
    </row>
    <row r="26" spans="2:53" outlineLevel="1" x14ac:dyDescent="0.25">
      <c r="B26" s="79"/>
      <c r="C26" s="5"/>
      <c r="D26" s="27"/>
      <c r="E26" s="5"/>
      <c r="F26" s="27"/>
      <c r="G26" s="5"/>
      <c r="H26" s="5"/>
      <c r="I26" s="46" t="s">
        <v>201</v>
      </c>
      <c r="J26" s="5" t="str">
        <f>INDEX('Nike pace chart'!$BO$9:$BO$16,MATCH('Nike training program_21k'!I26,'Nike pace chart'!$BY$9:$BY$16,0))</f>
        <v>05:39</v>
      </c>
      <c r="K26" s="99">
        <f>INDEX('Nike pace chart'!$BV$9:$BV$16,MATCH(I26,'Nike pace chart'!$BY$9:$BY$16,0))/1000*((_xlfn.TEXTBEFORE(L26,":")+_xlfn.TEXTAFTER(L26,":")/60))</f>
        <v>0.27</v>
      </c>
      <c r="L26" s="28" t="s">
        <v>236</v>
      </c>
      <c r="M26" s="5"/>
      <c r="N26" s="27"/>
      <c r="O26" s="5"/>
      <c r="P26" s="27"/>
      <c r="Q26" s="28"/>
      <c r="R26" s="5"/>
      <c r="S26" s="27"/>
      <c r="T26" s="5"/>
      <c r="U26" s="27"/>
      <c r="V26" s="28"/>
      <c r="W26" s="5"/>
      <c r="X26" s="27"/>
      <c r="Y26" s="5"/>
      <c r="Z26" s="27"/>
      <c r="AA26" s="28"/>
      <c r="AB26" s="102">
        <v>1</v>
      </c>
      <c r="AC26" s="5"/>
      <c r="AD26" s="27"/>
      <c r="AE26" s="5"/>
      <c r="AF26" s="27"/>
      <c r="AG26" s="5"/>
      <c r="AH26" s="5"/>
      <c r="AI26" s="46" t="s">
        <v>201</v>
      </c>
      <c r="AJ26" s="5" t="str">
        <f>INDEX('Nike pace chart'!$BO$9:$BO$16,MATCH('Nike training program_21k'!AI26,'Nike pace chart'!$BY$9:$BY$16,0))</f>
        <v>05:39</v>
      </c>
      <c r="AK26" s="99">
        <v>0.3</v>
      </c>
      <c r="AL26" s="28" t="s">
        <v>236</v>
      </c>
      <c r="AM26" s="5"/>
      <c r="AN26" s="27"/>
      <c r="AO26" s="5"/>
      <c r="AP26" s="27"/>
      <c r="AQ26" s="28"/>
      <c r="AR26" s="5"/>
      <c r="AS26" s="27"/>
      <c r="AT26" s="131">
        <v>0.2013888888888889</v>
      </c>
      <c r="AU26" s="99">
        <v>1</v>
      </c>
      <c r="AV26" s="28"/>
      <c r="AW26" s="5"/>
      <c r="AX26" s="27"/>
      <c r="AY26" s="5"/>
      <c r="AZ26" s="27"/>
      <c r="BA26" s="28"/>
    </row>
    <row r="27" spans="2:53" outlineLevel="1" x14ac:dyDescent="0.25">
      <c r="B27" s="79"/>
      <c r="C27" s="5"/>
      <c r="D27" s="27"/>
      <c r="E27" s="5"/>
      <c r="F27" s="27"/>
      <c r="G27" s="5"/>
      <c r="H27" s="5">
        <v>2</v>
      </c>
      <c r="I27" s="45" t="s">
        <v>241</v>
      </c>
      <c r="J27" s="5" t="str">
        <f>INDEX('Nike pace chart'!$BO$9:$BO$16,MATCH('Nike training program_21k'!I27,'Nike pace chart'!$BY$9:$BY$16,0))</f>
        <v>04:25</v>
      </c>
      <c r="K27" s="99">
        <f>INDEX('Nike pace chart'!$BV$9:$BV$16,MATCH(I27,'Nike pace chart'!$BY$9:$BY$16,0))/1000*((_xlfn.TEXTBEFORE(L27,":")+_xlfn.TEXTAFTER(L27,":")/60))</f>
        <v>0.23</v>
      </c>
      <c r="L27" s="28" t="s">
        <v>225</v>
      </c>
      <c r="M27" s="5"/>
      <c r="N27" s="27"/>
      <c r="O27" s="5"/>
      <c r="P27" s="27"/>
      <c r="Q27" s="28"/>
      <c r="R27" s="5"/>
      <c r="S27" s="27"/>
      <c r="T27" s="5"/>
      <c r="U27" s="27"/>
      <c r="V27" s="28"/>
      <c r="W27" s="5"/>
      <c r="X27" s="27"/>
      <c r="Y27" s="5"/>
      <c r="Z27" s="27"/>
      <c r="AA27" s="28"/>
      <c r="AB27" s="102">
        <v>1</v>
      </c>
      <c r="AC27" s="5"/>
      <c r="AD27" s="27"/>
      <c r="AE27" s="5"/>
      <c r="AF27" s="27"/>
      <c r="AG27" s="5"/>
      <c r="AH27" s="5"/>
      <c r="AI27" s="27"/>
      <c r="AJ27" s="5"/>
      <c r="AK27" s="99"/>
      <c r="AL27" s="28"/>
      <c r="AM27" s="5"/>
      <c r="AN27" s="27"/>
      <c r="AO27" s="5"/>
      <c r="AP27" s="27"/>
      <c r="AQ27" s="28"/>
      <c r="AR27" s="5"/>
      <c r="AS27" s="27"/>
      <c r="AT27" s="131">
        <v>0.2013888888888889</v>
      </c>
      <c r="AU27" s="99">
        <v>1</v>
      </c>
      <c r="AV27" s="28"/>
      <c r="AW27" s="5"/>
      <c r="AX27" s="27"/>
      <c r="AY27" s="5"/>
      <c r="AZ27" s="27"/>
      <c r="BA27" s="28"/>
    </row>
    <row r="28" spans="2:53" outlineLevel="2" x14ac:dyDescent="0.25">
      <c r="B28" s="79"/>
      <c r="C28" s="5"/>
      <c r="D28" s="27"/>
      <c r="E28" s="5"/>
      <c r="F28" s="27"/>
      <c r="G28" s="5"/>
      <c r="H28" s="5"/>
      <c r="I28" s="46" t="s">
        <v>201</v>
      </c>
      <c r="J28" s="5" t="str">
        <f>INDEX('Nike pace chart'!$BO$9:$BO$16,MATCH('Nike training program_21k'!I28,'Nike pace chart'!$BY$9:$BY$16,0))</f>
        <v>05:39</v>
      </c>
      <c r="K28" s="99">
        <f>INDEX('Nike pace chart'!$BV$9:$BV$16,MATCH(I28,'Nike pace chart'!$BY$9:$BY$16,0))/1000*((_xlfn.TEXTBEFORE(L28,":")+_xlfn.TEXTAFTER(L28,":")/60))</f>
        <v>0.18</v>
      </c>
      <c r="L28" s="28" t="s">
        <v>225</v>
      </c>
      <c r="M28" s="5"/>
      <c r="N28" s="27"/>
      <c r="O28" s="5"/>
      <c r="P28" s="27"/>
      <c r="Q28" s="28"/>
      <c r="R28" s="5"/>
      <c r="S28" s="27"/>
      <c r="T28" s="5"/>
      <c r="U28" s="27"/>
      <c r="V28" s="28"/>
      <c r="W28" s="5"/>
      <c r="X28" s="27"/>
      <c r="Y28" s="5"/>
      <c r="Z28" s="27"/>
      <c r="AA28" s="28"/>
      <c r="AB28" s="102">
        <v>1</v>
      </c>
      <c r="AC28" s="5"/>
      <c r="AD28" s="27"/>
      <c r="AE28" s="5"/>
      <c r="AF28" s="27"/>
      <c r="AG28" s="5"/>
      <c r="AH28" s="5"/>
      <c r="AI28" s="27"/>
      <c r="AJ28" s="5"/>
      <c r="AK28" s="99"/>
      <c r="AL28" s="28"/>
      <c r="AM28" s="5"/>
      <c r="AN28" s="27"/>
      <c r="AO28" s="5"/>
      <c r="AP28" s="27"/>
      <c r="AQ28" s="28"/>
      <c r="AR28" s="5"/>
      <c r="AS28" s="27"/>
      <c r="AT28" s="5"/>
      <c r="AU28" s="99"/>
      <c r="AV28" s="28"/>
      <c r="AW28" s="5"/>
      <c r="AX28" s="27"/>
      <c r="AY28" s="5"/>
      <c r="AZ28" s="27"/>
      <c r="BA28" s="28"/>
    </row>
    <row r="29" spans="2:53" outlineLevel="2" x14ac:dyDescent="0.25">
      <c r="B29" s="79"/>
      <c r="C29" s="5"/>
      <c r="D29" s="27"/>
      <c r="E29" s="5"/>
      <c r="F29" s="27"/>
      <c r="G29" s="5"/>
      <c r="H29" s="5">
        <v>2</v>
      </c>
      <c r="I29" s="49" t="s">
        <v>195</v>
      </c>
      <c r="J29" s="5" t="str">
        <f>INDEX('Nike pace chart'!$BO$9:$BO$16,MATCH('Nike training program_21k'!I29,'Nike pace chart'!$BY$9:$BY$16,0))</f>
        <v>04:37</v>
      </c>
      <c r="K29" s="99">
        <f>INDEX('Nike pace chart'!$BV$9:$BV$16,MATCH(I29,'Nike pace chart'!$BY$9:$BY$16,0))/1000*((_xlfn.TEXTBEFORE(L29,":")+_xlfn.TEXTAFTER(L29,":")/60))</f>
        <v>0.44</v>
      </c>
      <c r="L29" s="28" t="s">
        <v>228</v>
      </c>
      <c r="M29" s="5"/>
      <c r="N29" s="27"/>
      <c r="O29" s="5"/>
      <c r="P29" s="27"/>
      <c r="Q29" s="28"/>
      <c r="R29" s="5"/>
      <c r="S29" s="27"/>
      <c r="T29" s="5"/>
      <c r="U29" s="27"/>
      <c r="V29" s="28"/>
      <c r="W29" s="5"/>
      <c r="X29" s="27"/>
      <c r="Y29" s="5"/>
      <c r="Z29" s="27"/>
      <c r="AA29" s="28"/>
      <c r="AB29" s="102">
        <v>1</v>
      </c>
      <c r="AC29" s="5"/>
      <c r="AD29" s="27"/>
      <c r="AE29" s="5"/>
      <c r="AF29" s="27"/>
      <c r="AG29" s="5"/>
      <c r="AH29" s="5"/>
      <c r="AI29" s="27"/>
      <c r="AJ29" s="5"/>
      <c r="AK29" s="99"/>
      <c r="AL29" s="28"/>
      <c r="AM29" s="5"/>
      <c r="AN29" s="27"/>
      <c r="AO29" s="5"/>
      <c r="AP29" s="27"/>
      <c r="AQ29" s="28"/>
      <c r="AR29" s="5"/>
      <c r="AS29" s="27"/>
      <c r="AT29" s="5"/>
      <c r="AU29" s="99"/>
      <c r="AV29" s="28"/>
      <c r="AW29" s="5"/>
      <c r="AX29" s="27"/>
      <c r="AY29" s="5"/>
      <c r="AZ29" s="27"/>
      <c r="BA29" s="28"/>
    </row>
    <row r="30" spans="2:53" outlineLevel="2" x14ac:dyDescent="0.25">
      <c r="B30" s="79"/>
      <c r="C30" s="5"/>
      <c r="D30" s="27"/>
      <c r="E30" s="5"/>
      <c r="F30" s="27"/>
      <c r="G30" s="5"/>
      <c r="H30" s="5"/>
      <c r="I30" s="46" t="s">
        <v>201</v>
      </c>
      <c r="J30" s="5" t="str">
        <f>INDEX('Nike pace chart'!$BO$9:$BO$16,MATCH('Nike training program_21k'!I30,'Nike pace chart'!$BY$9:$BY$16,0))</f>
        <v>05:39</v>
      </c>
      <c r="K30" s="99">
        <f>INDEX('Nike pace chart'!$BV$9:$BV$16,MATCH(I30,'Nike pace chart'!$BY$9:$BY$16,0))/1000*((_xlfn.TEXTBEFORE(L30,":")+_xlfn.TEXTAFTER(L30,":")/60))</f>
        <v>0.27</v>
      </c>
      <c r="L30" s="28" t="s">
        <v>236</v>
      </c>
      <c r="M30" s="5"/>
      <c r="N30" s="27"/>
      <c r="O30" s="5"/>
      <c r="P30" s="27"/>
      <c r="Q30" s="28"/>
      <c r="R30" s="5"/>
      <c r="S30" s="27"/>
      <c r="T30" s="5"/>
      <c r="U30" s="27"/>
      <c r="V30" s="28"/>
      <c r="W30" s="5"/>
      <c r="X30" s="27"/>
      <c r="Y30" s="5"/>
      <c r="Z30" s="27"/>
      <c r="AA30" s="28"/>
      <c r="AB30" s="102">
        <v>1</v>
      </c>
      <c r="AC30" s="5"/>
      <c r="AD30" s="27"/>
      <c r="AE30" s="5"/>
      <c r="AF30" s="27"/>
      <c r="AG30" s="5"/>
      <c r="AH30" s="5"/>
      <c r="AI30" s="27"/>
      <c r="AJ30" s="5"/>
      <c r="AK30" s="99"/>
      <c r="AL30" s="28"/>
      <c r="AM30" s="5"/>
      <c r="AN30" s="27"/>
      <c r="AO30" s="5"/>
      <c r="AP30" s="27"/>
      <c r="AQ30" s="28"/>
      <c r="AR30" s="5"/>
      <c r="AS30" s="27"/>
      <c r="AT30" s="5"/>
      <c r="AU30" s="99"/>
      <c r="AV30" s="28"/>
      <c r="AW30" s="5"/>
      <c r="AX30" s="27"/>
      <c r="AY30" s="5"/>
      <c r="AZ30" s="27"/>
      <c r="BA30" s="28"/>
    </row>
    <row r="31" spans="2:53" outlineLevel="2" x14ac:dyDescent="0.25">
      <c r="B31" s="79"/>
      <c r="C31" s="5"/>
      <c r="D31" s="27"/>
      <c r="E31" s="5"/>
      <c r="F31" s="27"/>
      <c r="G31" s="5"/>
      <c r="H31" s="5">
        <v>1</v>
      </c>
      <c r="I31" s="45" t="s">
        <v>241</v>
      </c>
      <c r="J31" s="5" t="str">
        <f>INDEX('Nike pace chart'!$BO$9:$BO$16,MATCH('Nike training program_21k'!I31,'Nike pace chart'!$BY$9:$BY$16,0))</f>
        <v>04:25</v>
      </c>
      <c r="K31" s="99">
        <f>INDEX('Nike pace chart'!$BV$9:$BV$16,MATCH(I31,'Nike pace chart'!$BY$9:$BY$16,0))/1000*((_xlfn.TEXTBEFORE(L31,":")+_xlfn.TEXTAFTER(L31,":")/60))</f>
        <v>0.23</v>
      </c>
      <c r="L31" s="28" t="s">
        <v>225</v>
      </c>
      <c r="M31" s="5"/>
      <c r="N31" s="27"/>
      <c r="O31" s="5"/>
      <c r="P31" s="27"/>
      <c r="Q31" s="28"/>
      <c r="R31" s="5"/>
      <c r="S31" s="27"/>
      <c r="T31" s="5"/>
      <c r="U31" s="27"/>
      <c r="V31" s="28"/>
      <c r="W31" s="5"/>
      <c r="X31" s="27"/>
      <c r="Y31" s="5"/>
      <c r="Z31" s="27"/>
      <c r="AA31" s="28"/>
      <c r="AB31" s="102">
        <v>1</v>
      </c>
      <c r="AC31" s="5"/>
      <c r="AD31" s="27"/>
      <c r="AE31" s="5"/>
      <c r="AF31" s="27"/>
      <c r="AG31" s="5"/>
      <c r="AH31" s="5"/>
      <c r="AI31" s="27"/>
      <c r="AJ31" s="5"/>
      <c r="AK31" s="99"/>
      <c r="AL31" s="28"/>
      <c r="AM31" s="5"/>
      <c r="AN31" s="27"/>
      <c r="AO31" s="5"/>
      <c r="AP31" s="27"/>
      <c r="AQ31" s="28"/>
      <c r="AR31" s="5"/>
      <c r="AS31" s="27"/>
      <c r="AT31" s="5"/>
      <c r="AU31" s="99"/>
      <c r="AV31" s="28"/>
      <c r="AW31" s="5"/>
      <c r="AX31" s="27"/>
      <c r="AY31" s="5"/>
      <c r="AZ31" s="27"/>
      <c r="BA31" s="28"/>
    </row>
    <row r="32" spans="2:53" outlineLevel="2" x14ac:dyDescent="0.25">
      <c r="B32" s="79"/>
      <c r="C32" s="5"/>
      <c r="D32" s="27"/>
      <c r="E32" s="5"/>
      <c r="F32" s="27"/>
      <c r="G32" s="5"/>
      <c r="H32" s="5"/>
      <c r="I32" s="46" t="s">
        <v>201</v>
      </c>
      <c r="J32" s="5" t="str">
        <f>INDEX('Nike pace chart'!$BO$9:$BO$16,MATCH('Nike training program_21k'!I32,'Nike pace chart'!$BY$9:$BY$16,0))</f>
        <v>05:39</v>
      </c>
      <c r="K32" s="99">
        <f>INDEX('Nike pace chart'!$BV$9:$BV$16,MATCH(I32,'Nike pace chart'!$BY$9:$BY$16,0))/1000*((_xlfn.TEXTBEFORE(L32,":")+_xlfn.TEXTAFTER(L32,":")/60))</f>
        <v>0.18</v>
      </c>
      <c r="L32" s="28" t="s">
        <v>225</v>
      </c>
      <c r="M32" s="5"/>
      <c r="N32" s="27"/>
      <c r="O32" s="5"/>
      <c r="P32" s="27"/>
      <c r="Q32" s="28"/>
      <c r="R32" s="5"/>
      <c r="S32" s="27"/>
      <c r="T32" s="5"/>
      <c r="U32" s="27"/>
      <c r="V32" s="28"/>
      <c r="W32" s="5"/>
      <c r="X32" s="27"/>
      <c r="Y32" s="5"/>
      <c r="Z32" s="27"/>
      <c r="AA32" s="28"/>
      <c r="AB32" s="102">
        <v>1</v>
      </c>
      <c r="AC32" s="5"/>
      <c r="AD32" s="27"/>
      <c r="AE32" s="5"/>
      <c r="AF32" s="27"/>
      <c r="AG32" s="5"/>
      <c r="AH32" s="5"/>
      <c r="AI32" s="27"/>
      <c r="AJ32" s="5"/>
      <c r="AK32" s="99"/>
      <c r="AL32" s="28"/>
      <c r="AM32" s="5"/>
      <c r="AN32" s="27"/>
      <c r="AO32" s="5"/>
      <c r="AP32" s="27"/>
      <c r="AQ32" s="28"/>
      <c r="AR32" s="5"/>
      <c r="AS32" s="27"/>
      <c r="AT32" s="5"/>
      <c r="AU32" s="99"/>
      <c r="AV32" s="28"/>
      <c r="AW32" s="5"/>
      <c r="AX32" s="27"/>
      <c r="AY32" s="5"/>
      <c r="AZ32" s="27"/>
      <c r="BA32" s="28"/>
    </row>
    <row r="33" spans="2:53" outlineLevel="2" x14ac:dyDescent="0.25">
      <c r="B33" s="79"/>
      <c r="C33" s="5"/>
      <c r="D33" s="27"/>
      <c r="E33" s="5"/>
      <c r="F33" s="27"/>
      <c r="G33" s="5"/>
      <c r="H33" s="5">
        <v>1</v>
      </c>
      <c r="I33" s="49" t="s">
        <v>195</v>
      </c>
      <c r="J33" s="5" t="str">
        <f>INDEX('Nike pace chart'!$BO$9:$BO$16,MATCH('Nike training program_21k'!I33,'Nike pace chart'!$BY$9:$BY$16,0))</f>
        <v>04:37</v>
      </c>
      <c r="K33" s="99">
        <f>INDEX('Nike pace chart'!$BV$9:$BV$16,MATCH(I33,'Nike pace chart'!$BY$9:$BY$16,0))/1000*((_xlfn.TEXTBEFORE(L33,":")+_xlfn.TEXTAFTER(L33,":")/60))</f>
        <v>0.44</v>
      </c>
      <c r="L33" s="28" t="s">
        <v>228</v>
      </c>
      <c r="M33" s="5"/>
      <c r="N33" s="27"/>
      <c r="O33" s="5"/>
      <c r="P33" s="27"/>
      <c r="Q33" s="28"/>
      <c r="R33" s="5"/>
      <c r="S33" s="27"/>
      <c r="T33" s="5"/>
      <c r="U33" s="27"/>
      <c r="V33" s="28"/>
      <c r="W33" s="5"/>
      <c r="X33" s="27"/>
      <c r="Y33" s="5"/>
      <c r="Z33" s="27"/>
      <c r="AA33" s="28"/>
      <c r="AB33" s="102">
        <v>1</v>
      </c>
      <c r="AC33" s="5"/>
      <c r="AD33" s="27"/>
      <c r="AE33" s="5"/>
      <c r="AF33" s="27"/>
      <c r="AG33" s="5"/>
      <c r="AH33" s="5"/>
      <c r="AI33" s="27"/>
      <c r="AJ33" s="5"/>
      <c r="AK33" s="99"/>
      <c r="AL33" s="28"/>
      <c r="AM33" s="5"/>
      <c r="AN33" s="27"/>
      <c r="AO33" s="5"/>
      <c r="AP33" s="27"/>
      <c r="AQ33" s="28"/>
      <c r="AR33" s="5"/>
      <c r="AS33" s="27"/>
      <c r="AT33" s="5"/>
      <c r="AU33" s="99"/>
      <c r="AV33" s="28"/>
      <c r="AW33" s="5"/>
      <c r="AX33" s="27"/>
      <c r="AY33" s="5"/>
      <c r="AZ33" s="27"/>
      <c r="BA33" s="28"/>
    </row>
    <row r="34" spans="2:53" outlineLevel="2" x14ac:dyDescent="0.25">
      <c r="B34" s="79"/>
      <c r="C34" s="5"/>
      <c r="D34" s="27"/>
      <c r="E34" s="5"/>
      <c r="F34" s="27"/>
      <c r="G34" s="5"/>
      <c r="H34" s="5"/>
      <c r="I34" s="46" t="s">
        <v>201</v>
      </c>
      <c r="J34" s="5" t="str">
        <f>INDEX('Nike pace chart'!$BO$9:$BO$16,MATCH('Nike training program_21k'!I34,'Nike pace chart'!$BY$9:$BY$16,0))</f>
        <v>05:39</v>
      </c>
      <c r="K34" s="99">
        <f>INDEX('Nike pace chart'!$BV$9:$BV$16,MATCH(I34,'Nike pace chart'!$BY$9:$BY$16,0))/1000*((_xlfn.TEXTBEFORE(L34,":")+_xlfn.TEXTAFTER(L34,":")/60))</f>
        <v>0.27</v>
      </c>
      <c r="L34" s="28" t="s">
        <v>236</v>
      </c>
      <c r="M34" s="5"/>
      <c r="N34" s="27"/>
      <c r="O34" s="5"/>
      <c r="P34" s="27"/>
      <c r="Q34" s="28"/>
      <c r="R34" s="5"/>
      <c r="S34" s="27"/>
      <c r="T34" s="5"/>
      <c r="U34" s="27"/>
      <c r="V34" s="28"/>
      <c r="W34" s="5"/>
      <c r="X34" s="27"/>
      <c r="Y34" s="5"/>
      <c r="Z34" s="27"/>
      <c r="AA34" s="28"/>
      <c r="AB34" s="102">
        <v>1</v>
      </c>
      <c r="AC34" s="5"/>
      <c r="AD34" s="27"/>
      <c r="AE34" s="5"/>
      <c r="AF34" s="27"/>
      <c r="AG34" s="5"/>
      <c r="AH34" s="5"/>
      <c r="AI34" s="27"/>
      <c r="AJ34" s="5"/>
      <c r="AK34" s="99"/>
      <c r="AL34" s="28"/>
      <c r="AM34" s="5"/>
      <c r="AN34" s="27"/>
      <c r="AO34" s="5"/>
      <c r="AP34" s="27"/>
      <c r="AQ34" s="28"/>
      <c r="AR34" s="5"/>
      <c r="AS34" s="27"/>
      <c r="AT34" s="5"/>
      <c r="AU34" s="99"/>
      <c r="AV34" s="28"/>
      <c r="AW34" s="5"/>
      <c r="AX34" s="27"/>
      <c r="AY34" s="5"/>
      <c r="AZ34" s="27"/>
      <c r="BA34" s="28"/>
    </row>
    <row r="35" spans="2:53" outlineLevel="2" x14ac:dyDescent="0.25">
      <c r="B35" s="4" t="s">
        <v>594</v>
      </c>
      <c r="C35" s="5">
        <v>1</v>
      </c>
      <c r="D35" s="46" t="s">
        <v>201</v>
      </c>
      <c r="E35" s="5" t="str">
        <f>INDEX('Nike pace chart'!$BO$9:$BO$16,MATCH('Nike training program_21k'!D35,'Nike pace chart'!$BY$9:$BY$16,0))</f>
        <v>05:39</v>
      </c>
      <c r="F35" s="99">
        <f>INDEX('Nike pace chart'!$BV$9:$BV$16,MATCH(D35,'Nike pace chart'!$BY$9:$BY$16,0))/1000*((_xlfn.TEXTBEFORE(G35,":")+_xlfn.TEXTAFTER(G35,":")/60))</f>
        <v>2.6999999999999997</v>
      </c>
      <c r="G35" s="28" t="s">
        <v>233</v>
      </c>
      <c r="H35" s="5">
        <v>1</v>
      </c>
      <c r="I35" s="27" t="s">
        <v>255</v>
      </c>
      <c r="J35" s="5" t="s">
        <v>223</v>
      </c>
      <c r="K35" s="99"/>
      <c r="L35" s="28" t="s">
        <v>227</v>
      </c>
      <c r="M35" s="5">
        <v>1</v>
      </c>
      <c r="N35" s="46" t="s">
        <v>201</v>
      </c>
      <c r="O35" s="5" t="str">
        <f>INDEX('Nike pace chart'!$BO$9:$BO$16,MATCH('Nike training program_21k'!N35,'Nike pace chart'!$BY$9:$BY$16,0))</f>
        <v>05:39</v>
      </c>
      <c r="P35" s="99">
        <f>INDEX('Nike pace chart'!$BV$9:$BV$16,MATCH(N35,'Nike pace chart'!$BY$9:$BY$16,0))/1000*((_xlfn.TEXTBEFORE(Q35,":")+_xlfn.TEXTAFTER(Q35,":")/60))</f>
        <v>5.3999999999999995</v>
      </c>
      <c r="Q35" s="28" t="s">
        <v>112</v>
      </c>
      <c r="R35" s="5">
        <v>1</v>
      </c>
      <c r="S35" s="27" t="s">
        <v>255</v>
      </c>
      <c r="T35" s="5" t="s">
        <v>223</v>
      </c>
      <c r="U35" s="27" t="s">
        <v>223</v>
      </c>
      <c r="V35" s="28" t="s">
        <v>227</v>
      </c>
      <c r="W35" s="5">
        <v>1</v>
      </c>
      <c r="X35" s="45" t="s">
        <v>241</v>
      </c>
      <c r="Y35" s="5" t="str">
        <f>INDEX('Nike pace chart'!$BO$9:$BO$16,MATCH('Nike training program_21k'!X35,'Nike pace chart'!$BY$9:$BY$16,0))</f>
        <v>04:25</v>
      </c>
      <c r="Z35" s="27">
        <v>10</v>
      </c>
      <c r="AA35" s="28" t="s">
        <v>223</v>
      </c>
      <c r="AB35" s="102">
        <v>1</v>
      </c>
      <c r="AC35" s="5">
        <v>1</v>
      </c>
      <c r="AD35" s="46" t="s">
        <v>201</v>
      </c>
      <c r="AE35" s="5" t="str">
        <f>INDEX('Nike pace chart'!$BO$9:$BO$16,MATCH('Nike training program_21k'!AD35,'Nike pace chart'!$BY$9:$BY$16,0))</f>
        <v>05:39</v>
      </c>
      <c r="AF35" s="27">
        <v>2.6</v>
      </c>
      <c r="AG35" s="28" t="s">
        <v>233</v>
      </c>
      <c r="AH35" s="5">
        <v>1</v>
      </c>
      <c r="AI35" s="27" t="s">
        <v>255</v>
      </c>
      <c r="AJ35" s="5" t="s">
        <v>223</v>
      </c>
      <c r="AK35" s="99"/>
      <c r="AL35" s="28" t="s">
        <v>227</v>
      </c>
      <c r="AM35" s="5">
        <v>1</v>
      </c>
      <c r="AN35" s="46" t="s">
        <v>201</v>
      </c>
      <c r="AO35" s="5" t="str">
        <f>INDEX('Nike pace chart'!$BO$9:$BO$16,MATCH('Nike training program_21k'!AN35,'Nike pace chart'!$BY$9:$BY$16,0))</f>
        <v>05:39</v>
      </c>
      <c r="AP35" s="27">
        <v>5.0999999999999996</v>
      </c>
      <c r="AQ35" s="28" t="s">
        <v>112</v>
      </c>
      <c r="AR35" s="5">
        <v>1</v>
      </c>
      <c r="AS35" s="27" t="s">
        <v>255</v>
      </c>
      <c r="AT35" s="5" t="s">
        <v>223</v>
      </c>
      <c r="AU35" s="99" t="s">
        <v>223</v>
      </c>
      <c r="AV35" s="28" t="s">
        <v>227</v>
      </c>
      <c r="AW35" s="5">
        <v>1</v>
      </c>
      <c r="AX35" s="45" t="s">
        <v>241</v>
      </c>
      <c r="AY35" s="5"/>
      <c r="AZ35" s="27">
        <v>10</v>
      </c>
      <c r="BA35" s="28" t="s">
        <v>223</v>
      </c>
    </row>
    <row r="36" spans="2:53" outlineLevel="2" x14ac:dyDescent="0.25">
      <c r="B36" s="79"/>
      <c r="C36" s="5"/>
      <c r="D36" s="27"/>
      <c r="E36" s="5"/>
      <c r="F36" s="27"/>
      <c r="G36" s="5"/>
      <c r="H36" s="5">
        <v>1</v>
      </c>
      <c r="I36" s="49" t="s">
        <v>195</v>
      </c>
      <c r="J36" s="5" t="str">
        <f>INDEX('Nike pace chart'!$BO$9:$BO$16,MATCH('Nike training program_21k'!I36,'Nike pace chart'!$BY$9:$BY$16,0))</f>
        <v>04:37</v>
      </c>
      <c r="K36" s="99">
        <f>INDEX('Nike pace chart'!$BV$9:$BV$16,MATCH(I36,'Nike pace chart'!$BY$9:$BY$16,0))/1000*((_xlfn.TEXTBEFORE(L36,":")+_xlfn.TEXTAFTER(L36,":")/60))</f>
        <v>0.33</v>
      </c>
      <c r="L36" s="28" t="s">
        <v>236</v>
      </c>
      <c r="M36" s="5"/>
      <c r="N36" s="27"/>
      <c r="O36" s="5"/>
      <c r="P36" s="27"/>
      <c r="Q36" s="28"/>
      <c r="R36" s="5">
        <v>1</v>
      </c>
      <c r="S36" s="52" t="s">
        <v>202</v>
      </c>
      <c r="T36" s="5" t="str">
        <f>INDEX('Nike pace chart'!$BO$9:$BO$16,MATCH('Nike training program_21k'!S36,'Nike pace chart'!$BY$9:$BY$16,0))</f>
        <v>04:59</v>
      </c>
      <c r="U36" s="99">
        <f>INDEX('Nike pace chart'!$BV$9:$BV$16,MATCH(S36,'Nike pace chart'!$BY$9:$BY$16,0))/1000*((_xlfn.TEXTBEFORE(V36,":")+_xlfn.TEXTAFTER(V36,":")/60))</f>
        <v>4.6000000000000005</v>
      </c>
      <c r="V36" s="28" t="s">
        <v>595</v>
      </c>
      <c r="W36" s="5"/>
      <c r="X36" s="27"/>
      <c r="Y36" s="5"/>
      <c r="Z36" s="27"/>
      <c r="AA36" s="28"/>
      <c r="AB36" s="102">
        <v>1</v>
      </c>
      <c r="AC36" s="5"/>
      <c r="AD36" s="27"/>
      <c r="AE36" s="5"/>
      <c r="AF36" s="27"/>
      <c r="AG36" s="5"/>
      <c r="AH36" s="5">
        <v>3</v>
      </c>
      <c r="AI36" s="49" t="s">
        <v>195</v>
      </c>
      <c r="AJ36" s="5" t="str">
        <f>INDEX('Nike pace chart'!$BO$9:$BO$16,MATCH('Nike training program_21k'!AI36,'Nike pace chart'!$BY$9:$BY$16,0))</f>
        <v>04:37</v>
      </c>
      <c r="AK36" s="99">
        <v>0.35</v>
      </c>
      <c r="AL36" s="28" t="s">
        <v>236</v>
      </c>
      <c r="AM36" s="5"/>
      <c r="AN36" s="27"/>
      <c r="AO36" s="5"/>
      <c r="AP36" s="27"/>
      <c r="AQ36" s="28"/>
      <c r="AR36" s="5">
        <v>1</v>
      </c>
      <c r="AS36" s="52" t="s">
        <v>202</v>
      </c>
      <c r="AT36" s="131">
        <v>0.22222222222222221</v>
      </c>
      <c r="AU36" s="99">
        <v>1</v>
      </c>
      <c r="AV36" s="28" t="s">
        <v>595</v>
      </c>
      <c r="AW36" s="5"/>
      <c r="AX36" s="27"/>
      <c r="AY36" s="5"/>
      <c r="AZ36" s="27"/>
      <c r="BA36" s="28"/>
    </row>
    <row r="37" spans="2:53" outlineLevel="2" x14ac:dyDescent="0.25">
      <c r="B37" s="79"/>
      <c r="C37" s="5"/>
      <c r="D37" s="27"/>
      <c r="E37" s="5"/>
      <c r="F37" s="27"/>
      <c r="G37" s="5"/>
      <c r="H37" s="5"/>
      <c r="I37" s="46" t="s">
        <v>201</v>
      </c>
      <c r="J37" s="5" t="str">
        <f>INDEX('Nike pace chart'!$BO$9:$BO$16,MATCH('Nike training program_21k'!I37,'Nike pace chart'!$BY$9:$BY$16,0))</f>
        <v>05:39</v>
      </c>
      <c r="K37" s="99">
        <f>INDEX('Nike pace chart'!$BV$9:$BV$16,MATCH(I37,'Nike pace chart'!$BY$9:$BY$16,0))/1000*((_xlfn.TEXTBEFORE(L37,":")+_xlfn.TEXTAFTER(L37,":")/60))</f>
        <v>0.18</v>
      </c>
      <c r="L37" s="28" t="s">
        <v>225</v>
      </c>
      <c r="M37" s="5"/>
      <c r="N37" s="27"/>
      <c r="O37" s="5"/>
      <c r="P37" s="27"/>
      <c r="Q37" s="28"/>
      <c r="R37" s="5"/>
      <c r="S37" s="27"/>
      <c r="T37" s="5"/>
      <c r="U37" s="27"/>
      <c r="V37" s="28"/>
      <c r="W37" s="5"/>
      <c r="X37" s="27"/>
      <c r="Y37" s="5"/>
      <c r="Z37" s="27"/>
      <c r="AA37" s="28"/>
      <c r="AB37" s="102">
        <v>1</v>
      </c>
      <c r="AC37" s="5"/>
      <c r="AD37" s="27"/>
      <c r="AE37" s="5"/>
      <c r="AF37" s="27"/>
      <c r="AG37" s="5"/>
      <c r="AH37" s="5"/>
      <c r="AI37" s="46" t="s">
        <v>201</v>
      </c>
      <c r="AJ37" s="5" t="str">
        <f>INDEX('Nike pace chart'!$BO$9:$BO$16,MATCH('Nike training program_21k'!AI37,'Nike pace chart'!$BY$9:$BY$16,0))</f>
        <v>05:39</v>
      </c>
      <c r="AK37" s="99">
        <v>0.25</v>
      </c>
      <c r="AL37" s="28" t="s">
        <v>225</v>
      </c>
      <c r="AM37" s="5"/>
      <c r="AN37" s="27"/>
      <c r="AO37" s="5"/>
      <c r="AP37" s="27"/>
      <c r="AQ37" s="28"/>
      <c r="AR37" s="5"/>
      <c r="AS37" s="27"/>
      <c r="AT37" s="131">
        <v>0.21527777777777779</v>
      </c>
      <c r="AU37" s="99">
        <v>1</v>
      </c>
      <c r="AV37" s="28"/>
      <c r="AW37" s="5"/>
      <c r="AX37" s="27"/>
      <c r="AY37" s="5"/>
      <c r="AZ37" s="27"/>
      <c r="BA37" s="28"/>
    </row>
    <row r="38" spans="2:53" outlineLevel="2" x14ac:dyDescent="0.25">
      <c r="B38" s="79"/>
      <c r="C38" s="5"/>
      <c r="D38" s="27"/>
      <c r="E38" s="5"/>
      <c r="F38" s="27"/>
      <c r="G38" s="5"/>
      <c r="H38" s="5">
        <v>3</v>
      </c>
      <c r="I38" s="45" t="s">
        <v>241</v>
      </c>
      <c r="J38" s="5" t="str">
        <f>INDEX('Nike pace chart'!$BO$9:$BO$16,MATCH('Nike training program_21k'!I38,'Nike pace chart'!$BY$9:$BY$16,0))</f>
        <v>04:25</v>
      </c>
      <c r="K38" s="99">
        <f>INDEX('Nike pace chart'!$BV$9:$BV$16,MATCH(I38,'Nike pace chart'!$BY$9:$BY$16,0))/1000*((_xlfn.TEXTBEFORE(L38,":")+_xlfn.TEXTAFTER(L38,":")/60))</f>
        <v>0.17250000000000001</v>
      </c>
      <c r="L38" s="28" t="s">
        <v>229</v>
      </c>
      <c r="M38" s="5"/>
      <c r="N38" s="27"/>
      <c r="O38" s="5"/>
      <c r="P38" s="27"/>
      <c r="Q38" s="28"/>
      <c r="R38" s="5"/>
      <c r="S38" s="27"/>
      <c r="T38" s="5"/>
      <c r="U38" s="27"/>
      <c r="V38" s="28"/>
      <c r="W38" s="5"/>
      <c r="X38" s="27"/>
      <c r="Y38" s="5"/>
      <c r="Z38" s="27"/>
      <c r="AA38" s="28"/>
      <c r="AB38" s="102">
        <v>1</v>
      </c>
      <c r="AC38" s="5"/>
      <c r="AD38" s="27"/>
      <c r="AE38" s="5"/>
      <c r="AF38" s="27"/>
      <c r="AG38" s="5"/>
      <c r="AH38" s="5">
        <v>9</v>
      </c>
      <c r="AI38" s="45" t="s">
        <v>241</v>
      </c>
      <c r="AJ38" s="5" t="str">
        <f>INDEX('Nike pace chart'!$BO$9:$BO$16,MATCH('Nike training program_21k'!AI38,'Nike pace chart'!$BY$9:$BY$16,0))</f>
        <v>04:25</v>
      </c>
      <c r="AK38" s="99">
        <v>0.2</v>
      </c>
      <c r="AL38" s="28" t="s">
        <v>229</v>
      </c>
      <c r="AM38" s="5"/>
      <c r="AN38" s="27"/>
      <c r="AO38" s="5"/>
      <c r="AP38" s="27"/>
      <c r="AQ38" s="28"/>
      <c r="AR38" s="5"/>
      <c r="AS38" s="27"/>
      <c r="AT38" s="131">
        <v>0.20833333333333334</v>
      </c>
      <c r="AU38" s="99">
        <v>1</v>
      </c>
      <c r="AV38" s="28"/>
      <c r="AW38" s="5"/>
      <c r="AX38" s="27"/>
      <c r="AY38" s="5"/>
      <c r="AZ38" s="27"/>
      <c r="BA38" s="28"/>
    </row>
    <row r="39" spans="2:53" outlineLevel="2" x14ac:dyDescent="0.25">
      <c r="B39" s="79"/>
      <c r="C39" s="5"/>
      <c r="D39" s="27"/>
      <c r="E39" s="5"/>
      <c r="F39" s="27"/>
      <c r="G39" s="5"/>
      <c r="H39" s="5"/>
      <c r="I39" s="46" t="s">
        <v>201</v>
      </c>
      <c r="J39" s="5" t="str">
        <f>INDEX('Nike pace chart'!$BO$9:$BO$16,MATCH('Nike training program_21k'!I39,'Nike pace chart'!$BY$9:$BY$16,0))</f>
        <v>05:39</v>
      </c>
      <c r="K39" s="99">
        <f>INDEX('Nike pace chart'!$BV$9:$BV$16,MATCH(I39,'Nike pace chart'!$BY$9:$BY$16,0))/1000*((_xlfn.TEXTBEFORE(L39,":")+_xlfn.TEXTAFTER(L39,":")/60))</f>
        <v>0.18</v>
      </c>
      <c r="L39" s="28" t="s">
        <v>225</v>
      </c>
      <c r="M39" s="5"/>
      <c r="N39" s="27"/>
      <c r="O39" s="5"/>
      <c r="P39" s="27"/>
      <c r="Q39" s="28"/>
      <c r="R39" s="5"/>
      <c r="S39" s="27"/>
      <c r="T39" s="5"/>
      <c r="U39" s="27"/>
      <c r="V39" s="28"/>
      <c r="W39" s="5"/>
      <c r="X39" s="27"/>
      <c r="Y39" s="5"/>
      <c r="Z39" s="27"/>
      <c r="AA39" s="28"/>
      <c r="AB39" s="102">
        <v>1</v>
      </c>
      <c r="AC39" s="5"/>
      <c r="AD39" s="27"/>
      <c r="AE39" s="5"/>
      <c r="AF39" s="27"/>
      <c r="AG39" s="5"/>
      <c r="AH39" s="5"/>
      <c r="AI39" s="46" t="s">
        <v>201</v>
      </c>
      <c r="AJ39" s="5" t="str">
        <f>INDEX('Nike pace chart'!$BO$9:$BO$16,MATCH('Nike training program_21k'!AI39,'Nike pace chart'!$BY$9:$BY$16,0))</f>
        <v>05:39</v>
      </c>
      <c r="AK39" s="99">
        <v>0.1</v>
      </c>
      <c r="AL39" s="28" t="s">
        <v>225</v>
      </c>
      <c r="AM39" s="5"/>
      <c r="AN39" s="27"/>
      <c r="AO39" s="5"/>
      <c r="AP39" s="27"/>
      <c r="AQ39" s="28"/>
      <c r="AR39" s="5"/>
      <c r="AS39" s="27"/>
      <c r="AT39" s="131">
        <v>0.2013888888888889</v>
      </c>
      <c r="AU39" s="99">
        <v>1</v>
      </c>
      <c r="AV39" s="28"/>
      <c r="AW39" s="5"/>
      <c r="AX39" s="27"/>
      <c r="AY39" s="5"/>
      <c r="AZ39" s="27"/>
      <c r="BA39" s="28"/>
    </row>
    <row r="40" spans="2:53" outlineLevel="2" x14ac:dyDescent="0.25">
      <c r="B40" s="79"/>
      <c r="C40" s="5"/>
      <c r="D40" s="27"/>
      <c r="E40" s="5"/>
      <c r="F40" s="27"/>
      <c r="G40" s="5"/>
      <c r="H40" s="5">
        <v>1</v>
      </c>
      <c r="I40" s="49" t="s">
        <v>195</v>
      </c>
      <c r="J40" s="5" t="str">
        <f>INDEX('Nike pace chart'!$BO$9:$BO$16,MATCH('Nike training program_21k'!I40,'Nike pace chart'!$BY$9:$BY$16,0))</f>
        <v>04:37</v>
      </c>
      <c r="K40" s="99">
        <f>INDEX('Nike pace chart'!$BV$9:$BV$16,MATCH(I40,'Nike pace chart'!$BY$9:$BY$16,0))/1000*((_xlfn.TEXTBEFORE(L40,":")+_xlfn.TEXTAFTER(L40,":")/60))</f>
        <v>0.33</v>
      </c>
      <c r="L40" s="28" t="s">
        <v>236</v>
      </c>
      <c r="M40" s="5"/>
      <c r="N40" s="27"/>
      <c r="O40" s="5"/>
      <c r="P40" s="27"/>
      <c r="Q40" s="28"/>
      <c r="R40" s="5"/>
      <c r="S40" s="27"/>
      <c r="T40" s="5"/>
      <c r="U40" s="27"/>
      <c r="V40" s="28"/>
      <c r="W40" s="5"/>
      <c r="X40" s="27"/>
      <c r="Y40" s="5"/>
      <c r="Z40" s="27"/>
      <c r="AA40" s="28"/>
      <c r="AB40" s="102">
        <v>1</v>
      </c>
      <c r="AC40" s="5"/>
      <c r="AD40" s="27"/>
      <c r="AE40" s="5"/>
      <c r="AF40" s="27"/>
      <c r="AG40" s="5"/>
      <c r="AH40" s="5"/>
      <c r="AI40" s="27"/>
      <c r="AJ40" s="5"/>
      <c r="AK40" s="99"/>
      <c r="AL40" s="28"/>
      <c r="AM40" s="5"/>
      <c r="AN40" s="27"/>
      <c r="AO40" s="5"/>
      <c r="AP40" s="27"/>
      <c r="AQ40" s="28"/>
      <c r="AR40" s="5"/>
      <c r="AS40" s="27"/>
      <c r="AT40" s="131">
        <v>0.2013888888888889</v>
      </c>
      <c r="AU40" s="99">
        <v>0.6</v>
      </c>
      <c r="AV40" s="28"/>
      <c r="AW40" s="5"/>
      <c r="AX40" s="27"/>
      <c r="AY40" s="5"/>
      <c r="AZ40" s="27"/>
      <c r="BA40" s="28"/>
    </row>
    <row r="41" spans="2:53" outlineLevel="2" x14ac:dyDescent="0.25">
      <c r="B41" s="79"/>
      <c r="C41" s="5"/>
      <c r="D41" s="27"/>
      <c r="E41" s="5"/>
      <c r="F41" s="27"/>
      <c r="G41" s="5"/>
      <c r="H41" s="5"/>
      <c r="I41" s="46" t="s">
        <v>201</v>
      </c>
      <c r="J41" s="5" t="str">
        <f>INDEX('Nike pace chart'!$BO$9:$BO$16,MATCH('Nike training program_21k'!I41,'Nike pace chart'!$BY$9:$BY$16,0))</f>
        <v>05:39</v>
      </c>
      <c r="K41" s="99">
        <f>INDEX('Nike pace chart'!$BV$9:$BV$16,MATCH(I41,'Nike pace chart'!$BY$9:$BY$16,0))/1000*((_xlfn.TEXTBEFORE(L41,":")+_xlfn.TEXTAFTER(L41,":")/60))</f>
        <v>0.18</v>
      </c>
      <c r="L41" s="28" t="s">
        <v>225</v>
      </c>
      <c r="M41" s="5"/>
      <c r="N41" s="27"/>
      <c r="O41" s="5"/>
      <c r="P41" s="27"/>
      <c r="Q41" s="28"/>
      <c r="R41" s="5"/>
      <c r="S41" s="27"/>
      <c r="T41" s="5"/>
      <c r="U41" s="27"/>
      <c r="V41" s="28"/>
      <c r="W41" s="5"/>
      <c r="X41" s="27"/>
      <c r="Y41" s="5"/>
      <c r="Z41" s="27"/>
      <c r="AA41" s="28"/>
      <c r="AB41" s="102">
        <v>1</v>
      </c>
      <c r="AC41" s="5"/>
      <c r="AD41" s="27"/>
      <c r="AE41" s="5"/>
      <c r="AF41" s="27"/>
      <c r="AG41" s="5"/>
      <c r="AH41" s="5"/>
      <c r="AI41" s="27"/>
      <c r="AJ41" s="5"/>
      <c r="AK41" s="99"/>
      <c r="AL41" s="28"/>
      <c r="AM41" s="5"/>
      <c r="AN41" s="27"/>
      <c r="AO41" s="5"/>
      <c r="AP41" s="27"/>
      <c r="AQ41" s="28"/>
      <c r="AR41" s="5"/>
      <c r="AS41" s="27"/>
      <c r="AT41" s="5"/>
      <c r="AU41" s="99"/>
      <c r="AV41" s="28"/>
      <c r="AW41" s="5"/>
      <c r="AX41" s="27"/>
      <c r="AY41" s="5"/>
      <c r="AZ41" s="27"/>
      <c r="BA41" s="28"/>
    </row>
    <row r="42" spans="2:53" outlineLevel="2" x14ac:dyDescent="0.25">
      <c r="B42" s="79"/>
      <c r="C42" s="5"/>
      <c r="D42" s="27"/>
      <c r="E42" s="5"/>
      <c r="F42" s="27"/>
      <c r="G42" s="5"/>
      <c r="H42" s="5">
        <v>3</v>
      </c>
      <c r="I42" s="45" t="s">
        <v>241</v>
      </c>
      <c r="J42" s="5" t="str">
        <f>INDEX('Nike pace chart'!$BO$9:$BO$16,MATCH('Nike training program_21k'!I42,'Nike pace chart'!$BY$9:$BY$16,0))</f>
        <v>04:25</v>
      </c>
      <c r="K42" s="99">
        <f>INDEX('Nike pace chart'!$BV$9:$BV$16,MATCH(I42,'Nike pace chart'!$BY$9:$BY$16,0))/1000*((_xlfn.TEXTBEFORE(L42,":")+_xlfn.TEXTAFTER(L42,":")/60))</f>
        <v>0.17250000000000001</v>
      </c>
      <c r="L42" s="28" t="s">
        <v>229</v>
      </c>
      <c r="M42" s="5"/>
      <c r="N42" s="27"/>
      <c r="O42" s="5"/>
      <c r="P42" s="27"/>
      <c r="Q42" s="28"/>
      <c r="R42" s="5"/>
      <c r="S42" s="27"/>
      <c r="T42" s="5"/>
      <c r="U42" s="27"/>
      <c r="V42" s="28"/>
      <c r="W42" s="5"/>
      <c r="X42" s="27"/>
      <c r="Y42" s="5"/>
      <c r="Z42" s="27"/>
      <c r="AA42" s="28"/>
      <c r="AB42" s="102">
        <v>1</v>
      </c>
      <c r="AC42" s="5"/>
      <c r="AD42" s="27"/>
      <c r="AE42" s="5"/>
      <c r="AF42" s="27"/>
      <c r="AG42" s="5"/>
      <c r="AH42" s="5"/>
      <c r="AI42" s="27"/>
      <c r="AJ42" s="5"/>
      <c r="AK42" s="99"/>
      <c r="AL42" s="28"/>
      <c r="AM42" s="5"/>
      <c r="AN42" s="27"/>
      <c r="AO42" s="5"/>
      <c r="AP42" s="27"/>
      <c r="AQ42" s="28"/>
      <c r="AR42" s="5"/>
      <c r="AS42" s="27"/>
      <c r="AT42" s="5"/>
      <c r="AU42" s="99"/>
      <c r="AV42" s="28"/>
      <c r="AW42" s="5"/>
      <c r="AX42" s="27"/>
      <c r="AY42" s="5"/>
      <c r="AZ42" s="27"/>
      <c r="BA42" s="28"/>
    </row>
    <row r="43" spans="2:53" outlineLevel="2" x14ac:dyDescent="0.25">
      <c r="B43" s="79"/>
      <c r="C43" s="5"/>
      <c r="D43" s="27"/>
      <c r="E43" s="5"/>
      <c r="F43" s="27"/>
      <c r="G43" s="5"/>
      <c r="H43" s="5"/>
      <c r="I43" s="46" t="s">
        <v>201</v>
      </c>
      <c r="J43" s="5" t="str">
        <f>INDEX('Nike pace chart'!$BO$9:$BO$16,MATCH('Nike training program_21k'!I43,'Nike pace chart'!$BY$9:$BY$16,0))</f>
        <v>05:39</v>
      </c>
      <c r="K43" s="99">
        <f>INDEX('Nike pace chart'!$BV$9:$BV$16,MATCH(I43,'Nike pace chart'!$BY$9:$BY$16,0))/1000*((_xlfn.TEXTBEFORE(L43,":")+_xlfn.TEXTAFTER(L43,":")/60))</f>
        <v>0.18</v>
      </c>
      <c r="L43" s="28" t="s">
        <v>225</v>
      </c>
      <c r="M43" s="5"/>
      <c r="N43" s="27"/>
      <c r="O43" s="5"/>
      <c r="P43" s="27"/>
      <c r="Q43" s="28"/>
      <c r="R43" s="5"/>
      <c r="S43" s="27"/>
      <c r="T43" s="5"/>
      <c r="U43" s="27"/>
      <c r="V43" s="28"/>
      <c r="W43" s="5"/>
      <c r="X43" s="27"/>
      <c r="Y43" s="5"/>
      <c r="Z43" s="27"/>
      <c r="AA43" s="28"/>
      <c r="AB43" s="102">
        <v>1</v>
      </c>
      <c r="AC43" s="5"/>
      <c r="AD43" s="27"/>
      <c r="AE43" s="5"/>
      <c r="AF43" s="27"/>
      <c r="AG43" s="5"/>
      <c r="AH43" s="5"/>
      <c r="AI43" s="27"/>
      <c r="AJ43" s="5"/>
      <c r="AK43" s="99"/>
      <c r="AL43" s="28"/>
      <c r="AM43" s="5"/>
      <c r="AN43" s="27"/>
      <c r="AO43" s="5"/>
      <c r="AP43" s="27"/>
      <c r="AQ43" s="28"/>
      <c r="AR43" s="5"/>
      <c r="AS43" s="27"/>
      <c r="AT43" s="5"/>
      <c r="AU43" s="99"/>
      <c r="AV43" s="28"/>
      <c r="AW43" s="5"/>
      <c r="AX43" s="27"/>
      <c r="AY43" s="5"/>
      <c r="AZ43" s="27"/>
      <c r="BA43" s="28"/>
    </row>
    <row r="44" spans="2:53" outlineLevel="2" x14ac:dyDescent="0.25">
      <c r="B44" s="79"/>
      <c r="C44" s="5"/>
      <c r="D44" s="27"/>
      <c r="E44" s="5"/>
      <c r="F44" s="27"/>
      <c r="G44" s="5"/>
      <c r="H44" s="5">
        <v>1</v>
      </c>
      <c r="I44" s="49" t="s">
        <v>195</v>
      </c>
      <c r="J44" s="5" t="str">
        <f>INDEX('Nike pace chart'!$BO$9:$BO$16,MATCH('Nike training program_21k'!I44,'Nike pace chart'!$BY$9:$BY$16,0))</f>
        <v>04:37</v>
      </c>
      <c r="K44" s="99">
        <f>INDEX('Nike pace chart'!$BV$9:$BV$16,MATCH(I44,'Nike pace chart'!$BY$9:$BY$16,0))/1000*((_xlfn.TEXTBEFORE(L44,":")+_xlfn.TEXTAFTER(L44,":")/60))</f>
        <v>0.33</v>
      </c>
      <c r="L44" s="28" t="s">
        <v>236</v>
      </c>
      <c r="M44" s="5"/>
      <c r="N44" s="27"/>
      <c r="O44" s="5"/>
      <c r="P44" s="27"/>
      <c r="Q44" s="28"/>
      <c r="R44" s="5"/>
      <c r="S44" s="27"/>
      <c r="T44" s="5"/>
      <c r="U44" s="27"/>
      <c r="V44" s="28"/>
      <c r="W44" s="5"/>
      <c r="X44" s="27"/>
      <c r="Y44" s="5"/>
      <c r="Z44" s="27"/>
      <c r="AA44" s="28"/>
      <c r="AB44" s="102">
        <v>1</v>
      </c>
      <c r="AC44" s="5"/>
      <c r="AD44" s="27"/>
      <c r="AE44" s="5"/>
      <c r="AF44" s="27"/>
      <c r="AG44" s="5"/>
      <c r="AH44" s="5"/>
      <c r="AI44" s="27"/>
      <c r="AJ44" s="5"/>
      <c r="AK44" s="99"/>
      <c r="AL44" s="28"/>
      <c r="AM44" s="5"/>
      <c r="AN44" s="27"/>
      <c r="AO44" s="5"/>
      <c r="AP44" s="27"/>
      <c r="AQ44" s="28"/>
      <c r="AR44" s="5"/>
      <c r="AS44" s="27"/>
      <c r="AT44" s="5"/>
      <c r="AU44" s="99"/>
      <c r="AV44" s="28"/>
      <c r="AW44" s="5"/>
      <c r="AX44" s="27"/>
      <c r="AY44" s="5"/>
      <c r="AZ44" s="27"/>
      <c r="BA44" s="28"/>
    </row>
    <row r="45" spans="2:53" outlineLevel="2" x14ac:dyDescent="0.25">
      <c r="B45" s="79"/>
      <c r="C45" s="5"/>
      <c r="D45" s="27"/>
      <c r="E45" s="5"/>
      <c r="F45" s="27"/>
      <c r="G45" s="5"/>
      <c r="H45" s="5"/>
      <c r="I45" s="46" t="s">
        <v>201</v>
      </c>
      <c r="J45" s="5" t="str">
        <f>INDEX('Nike pace chart'!$BO$9:$BO$16,MATCH('Nike training program_21k'!I45,'Nike pace chart'!$BY$9:$BY$16,0))</f>
        <v>05:39</v>
      </c>
      <c r="K45" s="99">
        <f>INDEX('Nike pace chart'!$BV$9:$BV$16,MATCH(I45,'Nike pace chart'!$BY$9:$BY$16,0))/1000*((_xlfn.TEXTBEFORE(L45,":")+_xlfn.TEXTAFTER(L45,":")/60))</f>
        <v>0.18</v>
      </c>
      <c r="L45" s="28" t="s">
        <v>225</v>
      </c>
      <c r="M45" s="5"/>
      <c r="N45" s="27"/>
      <c r="O45" s="5"/>
      <c r="P45" s="27"/>
      <c r="Q45" s="28"/>
      <c r="R45" s="5"/>
      <c r="S45" s="27"/>
      <c r="T45" s="5"/>
      <c r="U45" s="27"/>
      <c r="V45" s="28"/>
      <c r="W45" s="5"/>
      <c r="X45" s="27"/>
      <c r="Y45" s="5"/>
      <c r="Z45" s="27"/>
      <c r="AA45" s="28"/>
      <c r="AB45" s="102">
        <v>1</v>
      </c>
      <c r="AC45" s="5"/>
      <c r="AD45" s="27"/>
      <c r="AE45" s="5"/>
      <c r="AF45" s="27"/>
      <c r="AG45" s="5"/>
      <c r="AH45" s="5"/>
      <c r="AI45" s="27"/>
      <c r="AJ45" s="5"/>
      <c r="AK45" s="99"/>
      <c r="AL45" s="28"/>
      <c r="AM45" s="5"/>
      <c r="AN45" s="27"/>
      <c r="AO45" s="5"/>
      <c r="AP45" s="27"/>
      <c r="AQ45" s="28"/>
      <c r="AR45" s="5"/>
      <c r="AS45" s="27"/>
      <c r="AT45" s="5"/>
      <c r="AU45" s="99"/>
      <c r="AV45" s="28"/>
      <c r="AW45" s="5"/>
      <c r="AX45" s="27"/>
      <c r="AY45" s="5"/>
      <c r="AZ45" s="27"/>
      <c r="BA45" s="28"/>
    </row>
    <row r="46" spans="2:53" outlineLevel="2" x14ac:dyDescent="0.25">
      <c r="B46" s="79"/>
      <c r="C46" s="5"/>
      <c r="D46" s="27"/>
      <c r="E46" s="5"/>
      <c r="F46" s="27"/>
      <c r="G46" s="5"/>
      <c r="H46" s="5">
        <v>3</v>
      </c>
      <c r="I46" s="45" t="s">
        <v>241</v>
      </c>
      <c r="J46" s="5" t="str">
        <f>INDEX('Nike pace chart'!$BO$9:$BO$16,MATCH('Nike training program_21k'!I46,'Nike pace chart'!$BY$9:$BY$16,0))</f>
        <v>04:25</v>
      </c>
      <c r="K46" s="99">
        <f>INDEX('Nike pace chart'!$BV$9:$BV$16,MATCH(I46,'Nike pace chart'!$BY$9:$BY$16,0))/1000*((_xlfn.TEXTBEFORE(L46,":")+_xlfn.TEXTAFTER(L46,":")/60))</f>
        <v>0.17250000000000001</v>
      </c>
      <c r="L46" s="28" t="s">
        <v>229</v>
      </c>
      <c r="M46" s="5"/>
      <c r="N46" s="27"/>
      <c r="O46" s="5"/>
      <c r="P46" s="27"/>
      <c r="Q46" s="28"/>
      <c r="R46" s="5"/>
      <c r="S46" s="27"/>
      <c r="T46" s="5"/>
      <c r="U46" s="27"/>
      <c r="V46" s="28"/>
      <c r="W46" s="5"/>
      <c r="X46" s="27"/>
      <c r="Y46" s="5"/>
      <c r="Z46" s="27"/>
      <c r="AA46" s="28"/>
      <c r="AB46" s="102">
        <v>1</v>
      </c>
      <c r="AC46" s="5"/>
      <c r="AD46" s="27"/>
      <c r="AE46" s="5"/>
      <c r="AF46" s="27"/>
      <c r="AG46" s="5"/>
      <c r="AH46" s="5"/>
      <c r="AI46" s="27"/>
      <c r="AJ46" s="5"/>
      <c r="AK46" s="99"/>
      <c r="AL46" s="28"/>
      <c r="AM46" s="5"/>
      <c r="AN46" s="27"/>
      <c r="AO46" s="5"/>
      <c r="AP46" s="27"/>
      <c r="AQ46" s="28"/>
      <c r="AR46" s="5"/>
      <c r="AS46" s="27"/>
      <c r="AT46" s="5"/>
      <c r="AU46" s="99"/>
      <c r="AV46" s="28"/>
      <c r="AW46" s="5"/>
      <c r="AX46" s="27"/>
      <c r="AY46" s="5"/>
      <c r="AZ46" s="27"/>
      <c r="BA46" s="28"/>
    </row>
    <row r="47" spans="2:53" outlineLevel="2" x14ac:dyDescent="0.25">
      <c r="B47" s="79"/>
      <c r="C47" s="5"/>
      <c r="D47" s="27"/>
      <c r="E47" s="5"/>
      <c r="F47" s="27"/>
      <c r="G47" s="5"/>
      <c r="H47" s="5"/>
      <c r="I47" s="46" t="s">
        <v>201</v>
      </c>
      <c r="J47" s="5" t="str">
        <f>INDEX('Nike pace chart'!$BO$9:$BO$16,MATCH('Nike training program_21k'!I47,'Nike pace chart'!$BY$9:$BY$16,0))</f>
        <v>05:39</v>
      </c>
      <c r="K47" s="99">
        <f>INDEX('Nike pace chart'!$BV$9:$BV$16,MATCH(I47,'Nike pace chart'!$BY$9:$BY$16,0))/1000*((_xlfn.TEXTBEFORE(L47,":")+_xlfn.TEXTAFTER(L47,":")/60))</f>
        <v>0.18</v>
      </c>
      <c r="L47" s="28" t="s">
        <v>225</v>
      </c>
      <c r="M47" s="5"/>
      <c r="N47" s="27"/>
      <c r="O47" s="5"/>
      <c r="P47" s="27"/>
      <c r="Q47" s="28"/>
      <c r="R47" s="5"/>
      <c r="S47" s="27"/>
      <c r="T47" s="5"/>
      <c r="U47" s="27"/>
      <c r="V47" s="28"/>
      <c r="W47" s="5"/>
      <c r="X47" s="27"/>
      <c r="Y47" s="5"/>
      <c r="Z47" s="27"/>
      <c r="AA47" s="28"/>
      <c r="AB47" s="102">
        <v>1</v>
      </c>
      <c r="AC47" s="5"/>
      <c r="AD47" s="27"/>
      <c r="AE47" s="5"/>
      <c r="AF47" s="27"/>
      <c r="AG47" s="5"/>
      <c r="AH47" s="5"/>
      <c r="AI47" s="27"/>
      <c r="AJ47" s="5"/>
      <c r="AK47" s="99"/>
      <c r="AL47" s="28"/>
      <c r="AM47" s="5"/>
      <c r="AN47" s="27"/>
      <c r="AO47" s="5"/>
      <c r="AP47" s="27"/>
      <c r="AQ47" s="28"/>
      <c r="AR47" s="5"/>
      <c r="AS47" s="27"/>
      <c r="AT47" s="5"/>
      <c r="AU47" s="99"/>
      <c r="AV47" s="28"/>
      <c r="AW47" s="5"/>
      <c r="AX47" s="27"/>
      <c r="AY47" s="5"/>
      <c r="AZ47" s="27"/>
      <c r="BA47" s="28"/>
    </row>
    <row r="48" spans="2:53" outlineLevel="1" x14ac:dyDescent="0.25">
      <c r="B48" s="4" t="s">
        <v>596</v>
      </c>
      <c r="C48" s="5">
        <v>1</v>
      </c>
      <c r="D48" s="46" t="s">
        <v>201</v>
      </c>
      <c r="E48" s="5" t="str">
        <f>INDEX('Nike pace chart'!$BO$9:$BO$16,MATCH('Nike training program_21k'!D48,'Nike pace chart'!$BY$9:$BY$16,0))</f>
        <v>05:39</v>
      </c>
      <c r="F48" s="99">
        <f>INDEX('Nike pace chart'!$BV$9:$BV$16,MATCH(D48,'Nike pace chart'!$BY$9:$BY$16,0))/1000*((_xlfn.TEXTBEFORE(G48,":")+_xlfn.TEXTAFTER(G48,":")/60))</f>
        <v>2.6999999999999997</v>
      </c>
      <c r="G48" s="28" t="s">
        <v>233</v>
      </c>
      <c r="H48" s="5">
        <v>1</v>
      </c>
      <c r="I48" s="27" t="s">
        <v>255</v>
      </c>
      <c r="J48" s="5" t="s">
        <v>223</v>
      </c>
      <c r="K48" s="99"/>
      <c r="L48" s="28" t="s">
        <v>227</v>
      </c>
      <c r="M48" s="5">
        <v>1</v>
      </c>
      <c r="N48" s="46" t="s">
        <v>201</v>
      </c>
      <c r="O48" s="5" t="str">
        <f>INDEX('Nike pace chart'!$BO$9:$BO$16,MATCH('Nike training program_21k'!N48,'Nike pace chart'!$BY$9:$BY$16,0))</f>
        <v>05:39</v>
      </c>
      <c r="P48" s="99">
        <f>INDEX('Nike pace chart'!$BV$9:$BV$16,MATCH(N48,'Nike pace chart'!$BY$9:$BY$16,0))/1000*((_xlfn.TEXTBEFORE(Q48,":")+_xlfn.TEXTAFTER(Q48,":")/60))</f>
        <v>8.1</v>
      </c>
      <c r="Q48" s="28" t="s">
        <v>252</v>
      </c>
      <c r="R48" s="5">
        <v>1</v>
      </c>
      <c r="S48" s="51" t="s">
        <v>591</v>
      </c>
      <c r="T48" s="5" t="s">
        <v>223</v>
      </c>
      <c r="U48" s="99"/>
      <c r="V48" s="28" t="s">
        <v>227</v>
      </c>
      <c r="W48" s="5">
        <v>1</v>
      </c>
      <c r="X48" s="45" t="s">
        <v>241</v>
      </c>
      <c r="Y48" s="5" t="str">
        <f>INDEX('Nike pace chart'!$BO$9:$BO$16,MATCH('Nike training program_21k'!X48,'Nike pace chart'!$BY$9:$BY$16,0))</f>
        <v>04:25</v>
      </c>
      <c r="Z48" s="27">
        <v>12.5</v>
      </c>
      <c r="AA48" s="28" t="s">
        <v>223</v>
      </c>
      <c r="AB48" s="102">
        <v>1</v>
      </c>
      <c r="AC48" s="5">
        <v>1</v>
      </c>
      <c r="AD48" s="46" t="s">
        <v>201</v>
      </c>
      <c r="AE48" s="5" t="str">
        <f>INDEX('Nike pace chart'!$BO$9:$BO$16,MATCH('Nike training program_21k'!AD48,'Nike pace chart'!$BY$9:$BY$16,0))</f>
        <v>05:39</v>
      </c>
      <c r="AF48" s="27">
        <v>2.6</v>
      </c>
      <c r="AG48" s="28" t="s">
        <v>233</v>
      </c>
      <c r="AH48" s="5">
        <v>1</v>
      </c>
      <c r="AI48" s="27" t="s">
        <v>255</v>
      </c>
      <c r="AJ48" s="5" t="s">
        <v>223</v>
      </c>
      <c r="AK48" s="99"/>
      <c r="AL48" s="28" t="s">
        <v>227</v>
      </c>
      <c r="AM48" s="5">
        <v>1</v>
      </c>
      <c r="AN48" s="46" t="s">
        <v>201</v>
      </c>
      <c r="AO48" s="5" t="str">
        <f>INDEX('Nike pace chart'!$BO$9:$BO$16,MATCH('Nike training program_21k'!AN48,'Nike pace chart'!$BY$9:$BY$16,0))</f>
        <v>05:39</v>
      </c>
      <c r="AP48" s="27">
        <v>7.7</v>
      </c>
      <c r="AQ48" s="28" t="s">
        <v>252</v>
      </c>
      <c r="AR48" s="5">
        <v>3</v>
      </c>
      <c r="AS48" s="51" t="s">
        <v>591</v>
      </c>
      <c r="AT48" s="5" t="s">
        <v>223</v>
      </c>
      <c r="AU48" s="99"/>
      <c r="AV48" s="28" t="s">
        <v>227</v>
      </c>
      <c r="AW48" s="5">
        <v>1</v>
      </c>
      <c r="AX48" s="45" t="s">
        <v>241</v>
      </c>
      <c r="AY48" s="5"/>
      <c r="AZ48" s="27">
        <v>12.5</v>
      </c>
      <c r="BA48" s="28" t="s">
        <v>223</v>
      </c>
    </row>
    <row r="49" spans="2:53" outlineLevel="1" x14ac:dyDescent="0.25">
      <c r="B49" s="79"/>
      <c r="C49" s="5"/>
      <c r="D49" s="27"/>
      <c r="E49" s="5"/>
      <c r="F49" s="27"/>
      <c r="G49" s="5"/>
      <c r="H49" s="5">
        <v>1</v>
      </c>
      <c r="I49" s="49" t="s">
        <v>195</v>
      </c>
      <c r="J49" s="5" t="str">
        <f>INDEX('Nike pace chart'!$BO$9:$BO$16,MATCH('Nike training program_21k'!I49,'Nike pace chart'!$BY$9:$BY$16,0))</f>
        <v>04:37</v>
      </c>
      <c r="K49" s="99">
        <f>INDEX('Nike pace chart'!$BV$9:$BV$16,MATCH(I49,'Nike pace chart'!$BY$9:$BY$16,0))/1000*((_xlfn.TEXTBEFORE(L49,":")+_xlfn.TEXTAFTER(L49,":")/60))</f>
        <v>0.11</v>
      </c>
      <c r="L49" s="28" t="s">
        <v>230</v>
      </c>
      <c r="M49" s="5"/>
      <c r="N49" s="27"/>
      <c r="O49" s="5"/>
      <c r="P49" s="27"/>
      <c r="Q49" s="28"/>
      <c r="R49" s="5">
        <v>3</v>
      </c>
      <c r="S49" s="48" t="s">
        <v>198</v>
      </c>
      <c r="T49" s="5" t="str">
        <f>INDEX('Nike pace chart'!$BO$9:$BO$16,MATCH('Nike training program_21k'!S49,'Nike pace chart'!$BY$9:$BY$16,0))</f>
        <v>04:46</v>
      </c>
      <c r="U49" s="99">
        <f>INDEX('Nike pace chart'!$BV$9:$BV$16,MATCH(S49,'Nike pace chart'!$BY$9:$BY$16,0))/1000*((_xlfn.TEXTBEFORE(V49,":")+_xlfn.TEXTAFTER(V49,":")/60))</f>
        <v>0.21</v>
      </c>
      <c r="V49" s="28" t="s">
        <v>225</v>
      </c>
      <c r="W49" s="5"/>
      <c r="X49" s="27"/>
      <c r="Y49" s="5"/>
      <c r="Z49" s="27"/>
      <c r="AA49" s="28"/>
      <c r="AB49" s="102">
        <v>1</v>
      </c>
      <c r="AC49" s="5"/>
      <c r="AD49" s="27"/>
      <c r="AE49" s="5"/>
      <c r="AF49" s="27"/>
      <c r="AG49" s="5"/>
      <c r="AH49" s="5">
        <v>1</v>
      </c>
      <c r="AI49" s="49" t="s">
        <v>195</v>
      </c>
      <c r="AJ49" s="5" t="str">
        <f>INDEX('Nike pace chart'!$BO$9:$BO$16,MATCH('Nike training program_21k'!AI49,'Nike pace chart'!$BY$9:$BY$16,0))</f>
        <v>04:37</v>
      </c>
      <c r="AK49" s="99">
        <v>0.05</v>
      </c>
      <c r="AL49" s="28" t="s">
        <v>230</v>
      </c>
      <c r="AM49" s="5"/>
      <c r="AN49" s="27"/>
      <c r="AO49" s="5"/>
      <c r="AP49" s="27"/>
      <c r="AQ49" s="28"/>
      <c r="AR49" s="5"/>
      <c r="AS49" s="48" t="s">
        <v>198</v>
      </c>
      <c r="AT49" s="5" t="str">
        <f>INDEX('Nike pace chart'!$BO$9:$BO$16,MATCH('Nike training program_21k'!AS49,'Nike pace chart'!$BY$9:$BY$16,0))</f>
        <v>04:46</v>
      </c>
      <c r="AU49" s="99">
        <v>0.25</v>
      </c>
      <c r="AV49" s="28" t="s">
        <v>225</v>
      </c>
      <c r="AW49" s="5"/>
      <c r="AX49" s="27"/>
      <c r="AY49" s="5"/>
      <c r="AZ49" s="27"/>
      <c r="BA49" s="28"/>
    </row>
    <row r="50" spans="2:53" outlineLevel="1" x14ac:dyDescent="0.25">
      <c r="B50" s="79"/>
      <c r="C50" s="5"/>
      <c r="D50" s="27"/>
      <c r="E50" s="5"/>
      <c r="F50" s="27"/>
      <c r="G50" s="5"/>
      <c r="H50" s="5"/>
      <c r="I50" s="46" t="s">
        <v>201</v>
      </c>
      <c r="J50" s="5" t="str">
        <f>INDEX('Nike pace chart'!$BO$9:$BO$16,MATCH('Nike training program_21k'!I50,'Nike pace chart'!$BY$9:$BY$16,0))</f>
        <v>05:39</v>
      </c>
      <c r="K50" s="99">
        <f>INDEX('Nike pace chart'!$BV$9:$BV$16,MATCH(I50,'Nike pace chart'!$BY$9:$BY$16,0))/1000*((_xlfn.TEXTBEFORE(L50,":")+_xlfn.TEXTAFTER(L50,":")/60))</f>
        <v>0.18</v>
      </c>
      <c r="L50" s="28" t="s">
        <v>225</v>
      </c>
      <c r="M50" s="5"/>
      <c r="N50" s="27"/>
      <c r="O50" s="5"/>
      <c r="P50" s="27"/>
      <c r="Q50" s="28"/>
      <c r="R50" s="5"/>
      <c r="S50" s="46" t="s">
        <v>201</v>
      </c>
      <c r="T50" s="5" t="str">
        <f>INDEX('Nike pace chart'!$BO$9:$BO$16,MATCH('Nike training program_21k'!S50,'Nike pace chart'!$BY$9:$BY$16,0))</f>
        <v>05:39</v>
      </c>
      <c r="U50" s="99">
        <f>INDEX('Nike pace chart'!$BV$9:$BV$16,MATCH(S50,'Nike pace chart'!$BY$9:$BY$16,0))/1000*((_xlfn.TEXTBEFORE(V50,":")+_xlfn.TEXTAFTER(V50,":")/60))</f>
        <v>0.36</v>
      </c>
      <c r="V50" s="28" t="s">
        <v>228</v>
      </c>
      <c r="W50" s="5"/>
      <c r="X50" s="27"/>
      <c r="Y50" s="5"/>
      <c r="Z50" s="27"/>
      <c r="AA50" s="28"/>
      <c r="AB50" s="102">
        <v>1</v>
      </c>
      <c r="AC50" s="5"/>
      <c r="AD50" s="27"/>
      <c r="AE50" s="5"/>
      <c r="AF50" s="27"/>
      <c r="AG50" s="5"/>
      <c r="AH50" s="5"/>
      <c r="AI50" s="46" t="s">
        <v>201</v>
      </c>
      <c r="AJ50" s="5" t="str">
        <f>INDEX('Nike pace chart'!$BO$9:$BO$16,MATCH('Nike training program_21k'!AI50,'Nike pace chart'!$BY$9:$BY$16,0))</f>
        <v>05:39</v>
      </c>
      <c r="AK50" s="99">
        <v>0.15</v>
      </c>
      <c r="AL50" s="28" t="s">
        <v>225</v>
      </c>
      <c r="AM50" s="5"/>
      <c r="AN50" s="27"/>
      <c r="AO50" s="5"/>
      <c r="AP50" s="27"/>
      <c r="AQ50" s="28"/>
      <c r="AR50" s="5"/>
      <c r="AS50" s="46" t="s">
        <v>201</v>
      </c>
      <c r="AT50" s="5" t="str">
        <f>INDEX('Nike pace chart'!$BO$9:$BO$16,MATCH('Nike training program_21k'!AS50,'Nike pace chart'!$BY$9:$BY$16,0))</f>
        <v>05:39</v>
      </c>
      <c r="AU50" s="99">
        <v>0.35</v>
      </c>
      <c r="AV50" s="28" t="s">
        <v>228</v>
      </c>
      <c r="AW50" s="5"/>
      <c r="AX50" s="27"/>
      <c r="AY50" s="5"/>
      <c r="AZ50" s="27"/>
      <c r="BA50" s="28"/>
    </row>
    <row r="51" spans="2:53" outlineLevel="1" x14ac:dyDescent="0.25">
      <c r="B51" s="79"/>
      <c r="C51" s="5"/>
      <c r="D51" s="27"/>
      <c r="E51" s="5"/>
      <c r="F51" s="27"/>
      <c r="G51" s="5"/>
      <c r="H51" s="5">
        <v>9</v>
      </c>
      <c r="I51" s="45" t="s">
        <v>241</v>
      </c>
      <c r="J51" s="5" t="str">
        <f>INDEX('Nike pace chart'!$BO$9:$BO$16,MATCH('Nike training program_21k'!I51,'Nike pace chart'!$BY$9:$BY$16,0))</f>
        <v>04:25</v>
      </c>
      <c r="K51" s="99">
        <f>INDEX('Nike pace chart'!$BV$9:$BV$16,MATCH(I51,'Nike pace chart'!$BY$9:$BY$16,0))/1000*((_xlfn.TEXTBEFORE(L51,":")+_xlfn.TEXTAFTER(L51,":")/60))</f>
        <v>0.115</v>
      </c>
      <c r="L51" s="28" t="s">
        <v>230</v>
      </c>
      <c r="M51" s="5"/>
      <c r="N51" s="27"/>
      <c r="O51" s="5"/>
      <c r="P51" s="27"/>
      <c r="Q51" s="28"/>
      <c r="R51" s="5"/>
      <c r="S51" s="49" t="s">
        <v>195</v>
      </c>
      <c r="T51" s="5" t="str">
        <f>INDEX('Nike pace chart'!$BO$9:$BO$16,MATCH('Nike training program_21k'!S51,'Nike pace chart'!$BY$9:$BY$16,0))</f>
        <v>04:37</v>
      </c>
      <c r="U51" s="99">
        <f>INDEX('Nike pace chart'!$BV$9:$BV$16,MATCH(S51,'Nike pace chart'!$BY$9:$BY$16,0))/1000*((_xlfn.TEXTBEFORE(V51,":")+_xlfn.TEXTAFTER(V51,":")/60))</f>
        <v>0.16500000000000001</v>
      </c>
      <c r="V51" s="28" t="s">
        <v>229</v>
      </c>
      <c r="W51" s="5"/>
      <c r="X51" s="27"/>
      <c r="Y51" s="5"/>
      <c r="Z51" s="27"/>
      <c r="AA51" s="28"/>
      <c r="AB51" s="102">
        <v>1</v>
      </c>
      <c r="AC51" s="5"/>
      <c r="AD51" s="27"/>
      <c r="AE51" s="5"/>
      <c r="AF51" s="27"/>
      <c r="AG51" s="5"/>
      <c r="AH51" s="5">
        <v>9</v>
      </c>
      <c r="AI51" s="45" t="s">
        <v>241</v>
      </c>
      <c r="AJ51" s="5" t="str">
        <f>INDEX('Nike pace chart'!$BO$9:$BO$16,MATCH('Nike training program_21k'!AI51,'Nike pace chart'!$BY$9:$BY$16,0))</f>
        <v>04:25</v>
      </c>
      <c r="AK51" s="99">
        <v>0.2</v>
      </c>
      <c r="AL51" s="28" t="s">
        <v>230</v>
      </c>
      <c r="AM51" s="5"/>
      <c r="AN51" s="27"/>
      <c r="AO51" s="5"/>
      <c r="AP51" s="27"/>
      <c r="AQ51" s="28"/>
      <c r="AR51" s="5"/>
      <c r="AS51" s="49" t="s">
        <v>195</v>
      </c>
      <c r="AT51" s="5" t="str">
        <f>INDEX('Nike pace chart'!$BO$9:$BO$16,MATCH('Nike training program_21k'!AS51,'Nike pace chart'!$BY$9:$BY$16,0))</f>
        <v>04:37</v>
      </c>
      <c r="AU51" s="99">
        <v>0.15000000000000002</v>
      </c>
      <c r="AV51" s="28" t="s">
        <v>229</v>
      </c>
      <c r="AW51" s="5"/>
      <c r="AX51" s="27"/>
      <c r="AY51" s="5"/>
      <c r="AZ51" s="27"/>
      <c r="BA51" s="28"/>
    </row>
    <row r="52" spans="2:53" outlineLevel="1" x14ac:dyDescent="0.25">
      <c r="B52" s="79"/>
      <c r="C52" s="5"/>
      <c r="D52" s="27"/>
      <c r="E52" s="5"/>
      <c r="F52" s="27"/>
      <c r="G52" s="5"/>
      <c r="H52" s="5"/>
      <c r="I52" s="46" t="s">
        <v>201</v>
      </c>
      <c r="J52" s="5" t="str">
        <f>INDEX('Nike pace chart'!$BO$9:$BO$16,MATCH('Nike training program_21k'!I52,'Nike pace chart'!$BY$9:$BY$16,0))</f>
        <v>05:39</v>
      </c>
      <c r="K52" s="99">
        <f>INDEX('Nike pace chart'!$BV$9:$BV$16,MATCH(I52,'Nike pace chart'!$BY$9:$BY$16,0))/1000*((_xlfn.TEXTBEFORE(L52,":")+_xlfn.TEXTAFTER(L52,":")/60))</f>
        <v>0.18</v>
      </c>
      <c r="L52" s="28" t="s">
        <v>225</v>
      </c>
      <c r="M52" s="5"/>
      <c r="N52" s="27"/>
      <c r="O52" s="5"/>
      <c r="P52" s="27"/>
      <c r="Q52" s="28"/>
      <c r="R52" s="5"/>
      <c r="S52" s="46" t="s">
        <v>201</v>
      </c>
      <c r="T52" s="5" t="str">
        <f>INDEX('Nike pace chart'!$BO$9:$BO$16,MATCH('Nike training program_21k'!S52,'Nike pace chart'!$BY$9:$BY$16,0))</f>
        <v>05:39</v>
      </c>
      <c r="U52" s="99">
        <f>INDEX('Nike pace chart'!$BV$9:$BV$16,MATCH(S52,'Nike pace chart'!$BY$9:$BY$16,0))/1000*((_xlfn.TEXTBEFORE(V52,":")+_xlfn.TEXTAFTER(V52,":")/60))</f>
        <v>0.27</v>
      </c>
      <c r="V52" s="28" t="s">
        <v>236</v>
      </c>
      <c r="W52" s="5"/>
      <c r="X52" s="27"/>
      <c r="Y52" s="5"/>
      <c r="Z52" s="27"/>
      <c r="AA52" s="28"/>
      <c r="AB52" s="102">
        <v>1</v>
      </c>
      <c r="AC52" s="5"/>
      <c r="AD52" s="27"/>
      <c r="AE52" s="5"/>
      <c r="AF52" s="27"/>
      <c r="AG52" s="5"/>
      <c r="AH52" s="5"/>
      <c r="AI52" s="46" t="s">
        <v>201</v>
      </c>
      <c r="AJ52" s="5" t="str">
        <f>INDEX('Nike pace chart'!$BO$9:$BO$16,MATCH('Nike training program_21k'!AI52,'Nike pace chart'!$BY$9:$BY$16,0))</f>
        <v>05:39</v>
      </c>
      <c r="AK52" s="99">
        <v>0.2</v>
      </c>
      <c r="AL52" s="28" t="s">
        <v>225</v>
      </c>
      <c r="AM52" s="5"/>
      <c r="AN52" s="27"/>
      <c r="AO52" s="5"/>
      <c r="AP52" s="27"/>
      <c r="AQ52" s="28"/>
      <c r="AR52" s="5"/>
      <c r="AS52" s="46" t="s">
        <v>201</v>
      </c>
      <c r="AT52" s="5" t="str">
        <f>INDEX('Nike pace chart'!$BO$9:$BO$16,MATCH('Nike training program_21k'!AS52,'Nike pace chart'!$BY$9:$BY$16,0))</f>
        <v>05:39</v>
      </c>
      <c r="AU52" s="99">
        <v>0.25</v>
      </c>
      <c r="AV52" s="28" t="s">
        <v>236</v>
      </c>
      <c r="AW52" s="5"/>
      <c r="AX52" s="27"/>
      <c r="AY52" s="5"/>
      <c r="AZ52" s="27"/>
      <c r="BA52" s="28"/>
    </row>
    <row r="53" spans="2:53" outlineLevel="1" x14ac:dyDescent="0.25">
      <c r="B53" s="79"/>
      <c r="C53" s="5"/>
      <c r="D53" s="27"/>
      <c r="E53" s="5"/>
      <c r="F53" s="27"/>
      <c r="G53" s="5"/>
      <c r="H53" s="5">
        <v>1</v>
      </c>
      <c r="I53" s="49" t="s">
        <v>195</v>
      </c>
      <c r="J53" s="5" t="str">
        <f>INDEX('Nike pace chart'!$BO$9:$BO$16,MATCH('Nike training program_21k'!I53,'Nike pace chart'!$BY$9:$BY$16,0))</f>
        <v>04:37</v>
      </c>
      <c r="K53" s="99">
        <f>INDEX('Nike pace chart'!$BV$9:$BV$16,MATCH(I53,'Nike pace chart'!$BY$9:$BY$16,0))/1000*((_xlfn.TEXTBEFORE(L53,":")+_xlfn.TEXTAFTER(L53,":")/60))</f>
        <v>0.11</v>
      </c>
      <c r="L53" s="28" t="s">
        <v>230</v>
      </c>
      <c r="M53" s="5"/>
      <c r="N53" s="27"/>
      <c r="O53" s="5"/>
      <c r="P53" s="27"/>
      <c r="Q53" s="28"/>
      <c r="R53" s="5"/>
      <c r="S53" s="45" t="s">
        <v>241</v>
      </c>
      <c r="T53" s="5" t="str">
        <f>INDEX('Nike pace chart'!$BO$9:$BO$16,MATCH('Nike training program_21k'!S53,'Nike pace chart'!$BY$9:$BY$16,0))</f>
        <v>04:25</v>
      </c>
      <c r="U53" s="99">
        <f>INDEX('Nike pace chart'!$BV$9:$BV$16,MATCH(S53,'Nike pace chart'!$BY$9:$BY$16,0))/1000*((_xlfn.TEXTBEFORE(V53,":")+_xlfn.TEXTAFTER(V53,":")/60))</f>
        <v>0.115</v>
      </c>
      <c r="V53" s="28" t="s">
        <v>230</v>
      </c>
      <c r="W53" s="5"/>
      <c r="X53" s="27"/>
      <c r="Y53" s="5"/>
      <c r="Z53" s="27"/>
      <c r="AA53" s="28"/>
      <c r="AB53" s="102">
        <v>1</v>
      </c>
      <c r="AC53" s="5"/>
      <c r="AD53" s="27"/>
      <c r="AE53" s="5"/>
      <c r="AF53" s="27"/>
      <c r="AG53" s="5"/>
      <c r="AH53" s="5">
        <v>1</v>
      </c>
      <c r="AI53" s="49" t="s">
        <v>195</v>
      </c>
      <c r="AJ53" s="5" t="str">
        <f>INDEX('Nike pace chart'!$BO$9:$BO$16,MATCH('Nike training program_21k'!AI53,'Nike pace chart'!$BY$9:$BY$16,0))</f>
        <v>04:37</v>
      </c>
      <c r="AK53" s="99">
        <v>0.05</v>
      </c>
      <c r="AL53" s="28" t="s">
        <v>230</v>
      </c>
      <c r="AM53" s="5"/>
      <c r="AN53" s="27"/>
      <c r="AO53" s="5"/>
      <c r="AP53" s="27"/>
      <c r="AQ53" s="28"/>
      <c r="AR53" s="5"/>
      <c r="AS53" s="45" t="s">
        <v>241</v>
      </c>
      <c r="AT53" s="5" t="str">
        <f>INDEX('Nike pace chart'!$BO$9:$BO$16,MATCH('Nike training program_21k'!AS53,'Nike pace chart'!$BY$9:$BY$16,0))</f>
        <v>04:25</v>
      </c>
      <c r="AU53" s="99">
        <v>0.15</v>
      </c>
      <c r="AV53" s="28" t="s">
        <v>230</v>
      </c>
      <c r="AW53" s="5"/>
      <c r="AX53" s="27"/>
      <c r="AY53" s="5"/>
      <c r="AZ53" s="27"/>
      <c r="BA53" s="28"/>
    </row>
    <row r="54" spans="2:53" outlineLevel="1" x14ac:dyDescent="0.25">
      <c r="B54" s="79"/>
      <c r="C54" s="5"/>
      <c r="D54" s="27"/>
      <c r="E54" s="5"/>
      <c r="F54" s="27"/>
      <c r="G54" s="5"/>
      <c r="H54" s="5"/>
      <c r="I54" s="46" t="s">
        <v>201</v>
      </c>
      <c r="J54" s="5" t="str">
        <f>INDEX('Nike pace chart'!$BO$9:$BO$16,MATCH('Nike training program_21k'!I54,'Nike pace chart'!$BY$9:$BY$16,0))</f>
        <v>05:39</v>
      </c>
      <c r="K54" s="99">
        <f>INDEX('Nike pace chart'!$BV$9:$BV$16,MATCH(I54,'Nike pace chart'!$BY$9:$BY$16,0))/1000*((_xlfn.TEXTBEFORE(L54,":")+_xlfn.TEXTAFTER(L54,":")/60))</f>
        <v>0.18</v>
      </c>
      <c r="L54" s="28" t="s">
        <v>225</v>
      </c>
      <c r="M54" s="5"/>
      <c r="N54" s="27"/>
      <c r="O54" s="5"/>
      <c r="P54" s="27"/>
      <c r="Q54" s="28"/>
      <c r="R54" s="5"/>
      <c r="S54" s="46" t="s">
        <v>201</v>
      </c>
      <c r="T54" s="5" t="str">
        <f>INDEX('Nike pace chart'!$BO$9:$BO$16,MATCH('Nike training program_21k'!S54,'Nike pace chart'!$BY$9:$BY$16,0))</f>
        <v>05:39</v>
      </c>
      <c r="U54" s="99">
        <f>INDEX('Nike pace chart'!$BV$9:$BV$16,MATCH(S54,'Nike pace chart'!$BY$9:$BY$16,0))/1000*((_xlfn.TEXTBEFORE(V54,":")+_xlfn.TEXTAFTER(V54,":")/60))</f>
        <v>0.27</v>
      </c>
      <c r="V54" s="28" t="s">
        <v>236</v>
      </c>
      <c r="W54" s="5"/>
      <c r="X54" s="27"/>
      <c r="Y54" s="5"/>
      <c r="Z54" s="27"/>
      <c r="AA54" s="28"/>
      <c r="AB54" s="102">
        <v>1</v>
      </c>
      <c r="AC54" s="5"/>
      <c r="AD54" s="27"/>
      <c r="AE54" s="5"/>
      <c r="AF54" s="27"/>
      <c r="AG54" s="5"/>
      <c r="AH54" s="5"/>
      <c r="AI54" s="46" t="s">
        <v>201</v>
      </c>
      <c r="AJ54" s="5" t="str">
        <f>INDEX('Nike pace chart'!$BO$9:$BO$16,MATCH('Nike training program_21k'!AI54,'Nike pace chart'!$BY$9:$BY$16,0))</f>
        <v>05:39</v>
      </c>
      <c r="AK54" s="99">
        <v>0.15</v>
      </c>
      <c r="AL54" s="28" t="s">
        <v>225</v>
      </c>
      <c r="AM54" s="5"/>
      <c r="AN54" s="27"/>
      <c r="AO54" s="5"/>
      <c r="AP54" s="27"/>
      <c r="AQ54" s="28"/>
      <c r="AR54" s="5"/>
      <c r="AS54" s="46" t="s">
        <v>201</v>
      </c>
      <c r="AT54" s="5" t="str">
        <f>INDEX('Nike pace chart'!$BO$9:$BO$16,MATCH('Nike training program_21k'!AS54,'Nike pace chart'!$BY$9:$BY$16,0))</f>
        <v>05:39</v>
      </c>
      <c r="AU54" s="99">
        <v>0.25</v>
      </c>
      <c r="AV54" s="28" t="s">
        <v>236</v>
      </c>
      <c r="AW54" s="5"/>
      <c r="AX54" s="27"/>
      <c r="AY54" s="5"/>
      <c r="AZ54" s="27"/>
      <c r="BA54" s="28"/>
    </row>
    <row r="55" spans="2:53" outlineLevel="1" x14ac:dyDescent="0.25">
      <c r="B55" s="79"/>
      <c r="C55" s="5"/>
      <c r="D55" s="27"/>
      <c r="E55" s="5"/>
      <c r="F55" s="27"/>
      <c r="G55" s="5"/>
      <c r="H55" s="5">
        <v>9</v>
      </c>
      <c r="I55" s="45" t="s">
        <v>241</v>
      </c>
      <c r="J55" s="5" t="str">
        <f>INDEX('Nike pace chart'!$BO$9:$BO$16,MATCH('Nike training program_21k'!I55,'Nike pace chart'!$BY$9:$BY$16,0))</f>
        <v>04:25</v>
      </c>
      <c r="K55" s="99">
        <f>INDEX('Nike pace chart'!$BV$9:$BV$16,MATCH(I55,'Nike pace chart'!$BY$9:$BY$16,0))/1000*((_xlfn.TEXTBEFORE(L55,":")+_xlfn.TEXTAFTER(L55,":")/60))</f>
        <v>0.115</v>
      </c>
      <c r="L55" s="28" t="s">
        <v>230</v>
      </c>
      <c r="M55" s="5"/>
      <c r="N55" s="27"/>
      <c r="O55" s="5"/>
      <c r="P55" s="27"/>
      <c r="Q55" s="28"/>
      <c r="R55" s="5"/>
      <c r="S55" s="27"/>
      <c r="T55" s="5"/>
      <c r="U55" s="27"/>
      <c r="V55" s="28"/>
      <c r="W55" s="5"/>
      <c r="X55" s="27"/>
      <c r="Y55" s="5"/>
      <c r="Z55" s="27"/>
      <c r="AA55" s="28"/>
      <c r="AB55" s="102">
        <v>1</v>
      </c>
      <c r="AC55" s="5"/>
      <c r="AD55" s="27"/>
      <c r="AE55" s="5"/>
      <c r="AF55" s="27"/>
      <c r="AG55" s="5"/>
      <c r="AH55" s="5">
        <v>9</v>
      </c>
      <c r="AI55" s="45" t="s">
        <v>241</v>
      </c>
      <c r="AJ55" s="5" t="str">
        <f>INDEX('Nike pace chart'!$BO$9:$BO$16,MATCH('Nike training program_21k'!AI55,'Nike pace chart'!$BY$9:$BY$16,0))</f>
        <v>04:25</v>
      </c>
      <c r="AK55" s="99">
        <v>0.1</v>
      </c>
      <c r="AL55" s="28" t="s">
        <v>230</v>
      </c>
      <c r="AM55" s="5"/>
      <c r="AN55" s="27"/>
      <c r="AO55" s="5"/>
      <c r="AP55" s="27"/>
      <c r="AQ55" s="28"/>
      <c r="AR55" s="5"/>
      <c r="AS55" s="27"/>
      <c r="AT55" s="5"/>
      <c r="AU55" s="99"/>
      <c r="AV55" s="28"/>
      <c r="AW55" s="5"/>
      <c r="AX55" s="27"/>
      <c r="AY55" s="5"/>
      <c r="AZ55" s="27"/>
      <c r="BA55" s="28"/>
    </row>
    <row r="56" spans="2:53" outlineLevel="1" x14ac:dyDescent="0.25">
      <c r="B56" s="79"/>
      <c r="C56" s="5"/>
      <c r="D56" s="27"/>
      <c r="E56" s="5"/>
      <c r="F56" s="27"/>
      <c r="G56" s="5"/>
      <c r="H56" s="5"/>
      <c r="I56" s="46" t="s">
        <v>201</v>
      </c>
      <c r="J56" s="5" t="str">
        <f>INDEX('Nike pace chart'!$BO$9:$BO$16,MATCH('Nike training program_21k'!I56,'Nike pace chart'!$BY$9:$BY$16,0))</f>
        <v>05:39</v>
      </c>
      <c r="K56" s="99">
        <f>INDEX('Nike pace chart'!$BV$9:$BV$16,MATCH(I56,'Nike pace chart'!$BY$9:$BY$16,0))/1000*((_xlfn.TEXTBEFORE(L56,":")+_xlfn.TEXTAFTER(L56,":")/60))</f>
        <v>0.18</v>
      </c>
      <c r="L56" s="28" t="s">
        <v>225</v>
      </c>
      <c r="M56" s="5"/>
      <c r="N56" s="27"/>
      <c r="O56" s="5"/>
      <c r="P56" s="27"/>
      <c r="Q56" s="28"/>
      <c r="R56" s="5"/>
      <c r="S56" s="27"/>
      <c r="T56" s="5"/>
      <c r="U56" s="27"/>
      <c r="V56" s="28"/>
      <c r="W56" s="5"/>
      <c r="X56" s="27"/>
      <c r="Y56" s="5"/>
      <c r="Z56" s="27"/>
      <c r="AA56" s="28"/>
      <c r="AB56" s="102">
        <v>1</v>
      </c>
      <c r="AC56" s="5"/>
      <c r="AD56" s="27"/>
      <c r="AE56" s="5"/>
      <c r="AF56" s="27"/>
      <c r="AG56" s="5"/>
      <c r="AH56" s="5"/>
      <c r="AI56" s="46" t="s">
        <v>201</v>
      </c>
      <c r="AJ56" s="5" t="str">
        <f>INDEX('Nike pace chart'!$BO$9:$BO$16,MATCH('Nike training program_21k'!AI56,'Nike pace chart'!$BY$9:$BY$16,0))</f>
        <v>05:39</v>
      </c>
      <c r="AK56" s="99">
        <v>0.1</v>
      </c>
      <c r="AL56" s="28" t="s">
        <v>225</v>
      </c>
      <c r="AM56" s="5"/>
      <c r="AN56" s="27"/>
      <c r="AO56" s="5"/>
      <c r="AP56" s="27"/>
      <c r="AQ56" s="28"/>
      <c r="AR56" s="5"/>
      <c r="AS56" s="27"/>
      <c r="AT56" s="5"/>
      <c r="AU56" s="99"/>
      <c r="AV56" s="28"/>
      <c r="AW56" s="5"/>
      <c r="AX56" s="27"/>
      <c r="AY56" s="5"/>
      <c r="AZ56" s="27"/>
      <c r="BA56" s="28"/>
    </row>
    <row r="57" spans="2:53" outlineLevel="1" x14ac:dyDescent="0.25">
      <c r="B57" s="4" t="s">
        <v>204</v>
      </c>
      <c r="C57" s="5">
        <v>1</v>
      </c>
      <c r="D57" s="46" t="s">
        <v>201</v>
      </c>
      <c r="E57" s="5" t="str">
        <f>INDEX('Nike pace chart'!$BO$9:$BO$16,MATCH('Nike training program_21k'!D57,'Nike pace chart'!$BY$9:$BY$16,0))</f>
        <v>05:39</v>
      </c>
      <c r="F57" s="99">
        <f>INDEX('Nike pace chart'!$BV$9:$BV$16,MATCH(D57,'Nike pace chart'!$BY$9:$BY$16,0))/1000*((_xlfn.TEXTBEFORE(G57,":")+_xlfn.TEXTAFTER(G57,":")/60))</f>
        <v>2.6999999999999997</v>
      </c>
      <c r="G57" s="28" t="s">
        <v>233</v>
      </c>
      <c r="H57" s="5">
        <v>1</v>
      </c>
      <c r="I57" s="27" t="s">
        <v>255</v>
      </c>
      <c r="J57" s="5" t="s">
        <v>223</v>
      </c>
      <c r="K57" s="99"/>
      <c r="L57" s="28" t="s">
        <v>227</v>
      </c>
      <c r="M57" s="5">
        <v>1</v>
      </c>
      <c r="N57" s="46" t="s">
        <v>201</v>
      </c>
      <c r="O57" s="5" t="str">
        <f>INDEX('Nike pace chart'!$BO$9:$BO$16,MATCH('Nike training program_21k'!N57,'Nike pace chart'!$BY$9:$BY$16,0))</f>
        <v>05:39</v>
      </c>
      <c r="P57" s="99">
        <f>INDEX('Nike pace chart'!$BV$9:$BV$16,MATCH(N57,'Nike pace chart'!$BY$9:$BY$16,0))/1000*((_xlfn.TEXTBEFORE(Q57,":")+_xlfn.TEXTAFTER(Q57,":")/60))</f>
        <v>5.58</v>
      </c>
      <c r="Q57" s="28" t="s">
        <v>248</v>
      </c>
      <c r="R57" s="5">
        <v>1</v>
      </c>
      <c r="S57" s="27" t="s">
        <v>255</v>
      </c>
      <c r="T57" s="5" t="s">
        <v>223</v>
      </c>
      <c r="U57" s="27" t="s">
        <v>223</v>
      </c>
      <c r="V57" s="28" t="s">
        <v>227</v>
      </c>
      <c r="W57" s="5">
        <v>1</v>
      </c>
      <c r="X57" s="45" t="s">
        <v>241</v>
      </c>
      <c r="Y57" s="5" t="str">
        <f>INDEX('Nike pace chart'!$BO$9:$BO$16,MATCH('Nike training program_21k'!X57,'Nike pace chart'!$BY$9:$BY$16,0))</f>
        <v>04:25</v>
      </c>
      <c r="Z57" s="27">
        <v>15</v>
      </c>
      <c r="AA57" s="28" t="s">
        <v>223</v>
      </c>
      <c r="AB57" s="102">
        <v>1</v>
      </c>
      <c r="AC57" s="5">
        <v>1</v>
      </c>
      <c r="AD57" s="46" t="s">
        <v>201</v>
      </c>
      <c r="AE57" s="5" t="str">
        <f>INDEX('Nike pace chart'!$BO$9:$BO$16,MATCH('Nike training program_21k'!AD57,'Nike pace chart'!$BY$9:$BY$16,0))</f>
        <v>05:39</v>
      </c>
      <c r="AF57" s="27">
        <v>2.6</v>
      </c>
      <c r="AG57" s="28" t="s">
        <v>233</v>
      </c>
      <c r="AH57" s="5">
        <v>1</v>
      </c>
      <c r="AI57" s="27" t="s">
        <v>255</v>
      </c>
      <c r="AJ57" s="5" t="s">
        <v>223</v>
      </c>
      <c r="AK57" s="99"/>
      <c r="AL57" s="28" t="s">
        <v>227</v>
      </c>
      <c r="AM57" s="5">
        <v>1</v>
      </c>
      <c r="AN57" s="46" t="s">
        <v>201</v>
      </c>
      <c r="AO57" s="5" t="str">
        <f>INDEX('Nike pace chart'!$BO$9:$BO$16,MATCH('Nike training program_21k'!AN57,'Nike pace chart'!$BY$9:$BY$16,0))</f>
        <v>05:39</v>
      </c>
      <c r="AP57" s="27">
        <v>5.3</v>
      </c>
      <c r="AQ57" s="28" t="s">
        <v>248</v>
      </c>
      <c r="AR57" s="5">
        <v>1</v>
      </c>
      <c r="AS57" s="27" t="s">
        <v>255</v>
      </c>
      <c r="AT57" s="5" t="s">
        <v>223</v>
      </c>
      <c r="AU57" s="99" t="s">
        <v>223</v>
      </c>
      <c r="AV57" s="28" t="s">
        <v>227</v>
      </c>
      <c r="AW57" s="5">
        <v>1</v>
      </c>
      <c r="AX57" s="45" t="s">
        <v>241</v>
      </c>
      <c r="AY57" s="5"/>
      <c r="AZ57" s="27">
        <v>15</v>
      </c>
      <c r="BA57" s="28" t="s">
        <v>223</v>
      </c>
    </row>
    <row r="58" spans="2:53" outlineLevel="1" x14ac:dyDescent="0.25">
      <c r="B58" s="79"/>
      <c r="C58" s="5"/>
      <c r="D58" s="27"/>
      <c r="E58" s="5"/>
      <c r="F58" s="27"/>
      <c r="G58" s="5"/>
      <c r="H58" s="5">
        <v>1</v>
      </c>
      <c r="I58" s="46" t="s">
        <v>201</v>
      </c>
      <c r="J58" s="5" t="str">
        <f>INDEX('Nike pace chart'!$BO$9:$BO$16,MATCH('Nike training program_21k'!I58,'Nike pace chart'!$BY$9:$BY$16,0))</f>
        <v>05:39</v>
      </c>
      <c r="K58" s="99">
        <f>INDEX('Nike pace chart'!$BV$9:$BV$16,MATCH(I58,'Nike pace chart'!$BY$9:$BY$16,0))/1000*((_xlfn.TEXTBEFORE(L58,":")+_xlfn.TEXTAFTER(L58,":")/60))</f>
        <v>0.72</v>
      </c>
      <c r="L58" s="28" t="s">
        <v>256</v>
      </c>
      <c r="M58" s="5"/>
      <c r="N58" s="27"/>
      <c r="O58" s="5"/>
      <c r="P58" s="27"/>
      <c r="Q58" s="28"/>
      <c r="R58" s="5">
        <v>1</v>
      </c>
      <c r="S58" s="45" t="s">
        <v>241</v>
      </c>
      <c r="T58" s="5" t="str">
        <f>INDEX('Nike pace chart'!$BO$9:$BO$16,MATCH('Nike training program_21k'!S58,'Nike pace chart'!$BY$9:$BY$16,0))</f>
        <v>04:25</v>
      </c>
      <c r="U58" s="99">
        <f>INDEX('Nike pace chart'!$BV$9:$BV$16,MATCH(S58,'Nike pace chart'!$BY$9:$BY$16,0))/1000*((_xlfn.TEXTBEFORE(V58,":")+_xlfn.TEXTAFTER(V58,":")/60))</f>
        <v>0.23</v>
      </c>
      <c r="V58" s="28" t="s">
        <v>225</v>
      </c>
      <c r="W58" s="5"/>
      <c r="X58" s="27"/>
      <c r="Y58" s="5"/>
      <c r="Z58" s="27"/>
      <c r="AA58" s="28"/>
      <c r="AB58" s="102">
        <v>1</v>
      </c>
      <c r="AC58" s="5"/>
      <c r="AD58" s="27"/>
      <c r="AE58" s="5"/>
      <c r="AF58" s="27"/>
      <c r="AG58" s="5"/>
      <c r="AH58" s="5">
        <v>1</v>
      </c>
      <c r="AI58" s="46" t="s">
        <v>201</v>
      </c>
      <c r="AJ58" s="5" t="str">
        <f>INDEX('Nike pace chart'!$BO$9:$BO$16,MATCH('Nike training program_21k'!AI58,'Nike pace chart'!$BY$9:$BY$16,0))</f>
        <v>05:39</v>
      </c>
      <c r="AK58" s="99">
        <v>0.7</v>
      </c>
      <c r="AL58" s="28" t="s">
        <v>256</v>
      </c>
      <c r="AM58" s="5"/>
      <c r="AN58" s="27"/>
      <c r="AO58" s="5"/>
      <c r="AP58" s="27"/>
      <c r="AQ58" s="28"/>
      <c r="AR58" s="5">
        <v>1</v>
      </c>
      <c r="AS58" s="45" t="s">
        <v>241</v>
      </c>
      <c r="AT58" s="5" t="str">
        <f>INDEX('Nike pace chart'!$BO$9:$BO$16,MATCH('Nike training program_21k'!AS58,'Nike pace chart'!$BY$9:$BY$16,0))</f>
        <v>04:25</v>
      </c>
      <c r="AU58" s="99">
        <v>0.2</v>
      </c>
      <c r="AV58" s="28" t="s">
        <v>225</v>
      </c>
      <c r="AW58" s="5"/>
      <c r="AX58" s="27"/>
      <c r="AY58" s="5"/>
      <c r="AZ58" s="27"/>
      <c r="BA58" s="28"/>
    </row>
    <row r="59" spans="2:53" outlineLevel="1" x14ac:dyDescent="0.25">
      <c r="B59" s="79"/>
      <c r="C59" s="5"/>
      <c r="D59" s="27"/>
      <c r="E59" s="5"/>
      <c r="F59" s="27"/>
      <c r="G59" s="5"/>
      <c r="H59" s="5"/>
      <c r="I59" s="45" t="s">
        <v>241</v>
      </c>
      <c r="J59" s="5" t="str">
        <f>INDEX('Nike pace chart'!$BO$9:$BO$16,MATCH('Nike training program_21k'!I59,'Nike pace chart'!$BY$9:$BY$16,0))</f>
        <v>04:25</v>
      </c>
      <c r="K59" s="99">
        <f>INDEX('Nike pace chart'!$BV$9:$BV$16,MATCH(I59,'Nike pace chart'!$BY$9:$BY$16,0))/1000*((_xlfn.TEXTBEFORE(L59,":")+_xlfn.TEXTAFTER(L59,":")/60))</f>
        <v>0.23</v>
      </c>
      <c r="L59" s="28" t="s">
        <v>225</v>
      </c>
      <c r="M59" s="5"/>
      <c r="N59" s="27"/>
      <c r="O59" s="5"/>
      <c r="P59" s="27"/>
      <c r="Q59" s="28"/>
      <c r="R59" s="5"/>
      <c r="S59" s="46" t="s">
        <v>201</v>
      </c>
      <c r="T59" s="5" t="str">
        <f>INDEX('Nike pace chart'!$BO$9:$BO$16,MATCH('Nike training program_21k'!S59,'Nike pace chart'!$BY$9:$BY$16,0))</f>
        <v>05:39</v>
      </c>
      <c r="U59" s="99">
        <f>INDEX('Nike pace chart'!$BV$9:$BV$16,MATCH(S59,'Nike pace chart'!$BY$9:$BY$16,0))/1000*((_xlfn.TEXTBEFORE(V59,":")+_xlfn.TEXTAFTER(V59,":")/60))</f>
        <v>0.09</v>
      </c>
      <c r="V59" s="28" t="s">
        <v>230</v>
      </c>
      <c r="W59" s="5"/>
      <c r="X59" s="27"/>
      <c r="Y59" s="5"/>
      <c r="Z59" s="27"/>
      <c r="AA59" s="28"/>
      <c r="AB59" s="102">
        <v>1</v>
      </c>
      <c r="AC59" s="5"/>
      <c r="AD59" s="27"/>
      <c r="AE59" s="5"/>
      <c r="AF59" s="27"/>
      <c r="AG59" s="5"/>
      <c r="AH59" s="5"/>
      <c r="AI59" s="45" t="s">
        <v>241</v>
      </c>
      <c r="AJ59" s="5" t="str">
        <f>INDEX('Nike pace chart'!$BO$9:$BO$16,MATCH('Nike training program_21k'!AI59,'Nike pace chart'!$BY$9:$BY$16,0))</f>
        <v>04:25</v>
      </c>
      <c r="AK59" s="99">
        <v>0.3</v>
      </c>
      <c r="AL59" s="28" t="s">
        <v>225</v>
      </c>
      <c r="AM59" s="5"/>
      <c r="AN59" s="27"/>
      <c r="AO59" s="5"/>
      <c r="AP59" s="27"/>
      <c r="AQ59" s="28"/>
      <c r="AR59" s="5"/>
      <c r="AS59" s="46" t="s">
        <v>201</v>
      </c>
      <c r="AT59" s="5" t="str">
        <f>INDEX('Nike pace chart'!$BO$9:$BO$16,MATCH('Nike training program_21k'!AS59,'Nike pace chart'!$BY$9:$BY$16,0))</f>
        <v>05:39</v>
      </c>
      <c r="AU59" s="99">
        <v>0.1</v>
      </c>
      <c r="AV59" s="28" t="s">
        <v>230</v>
      </c>
      <c r="AW59" s="5"/>
      <c r="AX59" s="27"/>
      <c r="AY59" s="5"/>
      <c r="AZ59" s="27"/>
      <c r="BA59" s="28"/>
    </row>
    <row r="60" spans="2:53" outlineLevel="1" x14ac:dyDescent="0.25">
      <c r="B60" s="79"/>
      <c r="C60" s="5"/>
      <c r="D60" s="27"/>
      <c r="E60" s="5"/>
      <c r="F60" s="27"/>
      <c r="G60" s="5"/>
      <c r="I60" s="46" t="s">
        <v>201</v>
      </c>
      <c r="J60" s="5" t="str">
        <f>INDEX('Nike pace chart'!$BO$9:$BO$16,MATCH('Nike training program_21k'!I60,'Nike pace chart'!$BY$9:$BY$16,0))</f>
        <v>05:39</v>
      </c>
      <c r="K60" s="99">
        <f>INDEX('Nike pace chart'!$BV$9:$BV$16,MATCH(I60,'Nike pace chart'!$BY$9:$BY$16,0))/1000*((_xlfn.TEXTBEFORE(L60,":")+_xlfn.TEXTAFTER(L60,":")/60))</f>
        <v>0.18</v>
      </c>
      <c r="L60" s="28" t="s">
        <v>225</v>
      </c>
      <c r="M60" s="5"/>
      <c r="N60" s="27"/>
      <c r="O60" s="5"/>
      <c r="P60" s="27"/>
      <c r="Q60" s="28"/>
      <c r="R60" s="5"/>
      <c r="S60" s="49" t="s">
        <v>195</v>
      </c>
      <c r="T60" s="5" t="str">
        <f>INDEX('Nike pace chart'!$BO$9:$BO$16,MATCH('Nike training program_21k'!S60,'Nike pace chart'!$BY$9:$BY$16,0))</f>
        <v>04:37</v>
      </c>
      <c r="U60" s="99">
        <f>INDEX('Nike pace chart'!$BV$9:$BV$16,MATCH(S60,'Nike pace chart'!$BY$9:$BY$16,0))/1000*((_xlfn.TEXTBEFORE(V60,":")+_xlfn.TEXTAFTER(V60,":")/60))</f>
        <v>1.1000000000000001</v>
      </c>
      <c r="V60" s="28" t="s">
        <v>227</v>
      </c>
      <c r="W60" s="5"/>
      <c r="X60" s="27"/>
      <c r="Y60" s="5"/>
      <c r="Z60" s="27"/>
      <c r="AA60" s="28"/>
      <c r="AB60" s="102">
        <v>1</v>
      </c>
      <c r="AC60" s="5"/>
      <c r="AD60" s="27"/>
      <c r="AE60" s="5"/>
      <c r="AF60" s="27"/>
      <c r="AG60" s="5"/>
      <c r="AI60" s="46" t="s">
        <v>201</v>
      </c>
      <c r="AJ60" s="5" t="str">
        <f>INDEX('Nike pace chart'!$BO$9:$BO$16,MATCH('Nike training program_21k'!AI60,'Nike pace chart'!$BY$9:$BY$16,0))</f>
        <v>05:39</v>
      </c>
      <c r="AK60" s="99">
        <v>0.2</v>
      </c>
      <c r="AL60" s="28" t="s">
        <v>225</v>
      </c>
      <c r="AM60" s="5"/>
      <c r="AN60" s="27"/>
      <c r="AO60" s="5"/>
      <c r="AP60" s="27"/>
      <c r="AQ60" s="28"/>
      <c r="AR60" s="5"/>
      <c r="AS60" s="49" t="s">
        <v>195</v>
      </c>
      <c r="AT60" s="5" t="str">
        <f>INDEX('Nike pace chart'!$BO$9:$BO$16,MATCH('Nike training program_21k'!AS60,'Nike pace chart'!$BY$9:$BY$16,0))</f>
        <v>04:37</v>
      </c>
      <c r="AU60" s="99">
        <v>1</v>
      </c>
      <c r="AV60" s="28" t="s">
        <v>227</v>
      </c>
      <c r="AW60" s="5"/>
      <c r="AX60" s="27"/>
      <c r="AY60" s="5"/>
      <c r="AZ60" s="27"/>
      <c r="BA60" s="28"/>
    </row>
    <row r="61" spans="2:53" outlineLevel="1" x14ac:dyDescent="0.25">
      <c r="B61" s="79"/>
      <c r="C61" s="5"/>
      <c r="D61" s="27"/>
      <c r="E61" s="5"/>
      <c r="F61" s="27"/>
      <c r="G61" s="5"/>
      <c r="H61" s="5">
        <v>1</v>
      </c>
      <c r="I61" s="48" t="s">
        <v>198</v>
      </c>
      <c r="J61" s="5" t="str">
        <f>INDEX('Nike pace chart'!$BO$9:$BO$16,MATCH('Nike training program_21k'!I61,'Nike pace chart'!$BY$9:$BY$16,0))</f>
        <v>04:46</v>
      </c>
      <c r="K61" s="99">
        <f>INDEX('Nike pace chart'!$BV$9:$BV$16,MATCH(I61,'Nike pace chart'!$BY$9:$BY$16,0))/1000*((_xlfn.TEXTBEFORE(L61,":")+_xlfn.TEXTAFTER(L61,":")/60))</f>
        <v>0.63</v>
      </c>
      <c r="L61" s="28" t="s">
        <v>235</v>
      </c>
      <c r="M61" s="5"/>
      <c r="N61" s="27"/>
      <c r="O61" s="5"/>
      <c r="P61" s="27"/>
      <c r="Q61" s="28"/>
      <c r="R61" s="5"/>
      <c r="S61" s="46" t="s">
        <v>201</v>
      </c>
      <c r="T61" s="5" t="str">
        <f>INDEX('Nike pace chart'!$BO$9:$BO$16,MATCH('Nike training program_21k'!S61,'Nike pace chart'!$BY$9:$BY$16,0))</f>
        <v>05:39</v>
      </c>
      <c r="U61" s="99">
        <f>INDEX('Nike pace chart'!$BV$9:$BV$16,MATCH(S61,'Nike pace chart'!$BY$9:$BY$16,0))/1000*((_xlfn.TEXTBEFORE(V61,":")+_xlfn.TEXTAFTER(V61,":")/60))</f>
        <v>0.44999999999999996</v>
      </c>
      <c r="V61" s="28" t="s">
        <v>240</v>
      </c>
      <c r="W61" s="5"/>
      <c r="X61" s="27"/>
      <c r="Y61" s="5"/>
      <c r="Z61" s="27"/>
      <c r="AA61" s="28"/>
      <c r="AB61" s="102">
        <v>1</v>
      </c>
      <c r="AC61" s="5"/>
      <c r="AD61" s="27"/>
      <c r="AE61" s="5"/>
      <c r="AF61" s="27"/>
      <c r="AG61" s="5"/>
      <c r="AH61" s="5"/>
      <c r="AI61" s="48" t="s">
        <v>198</v>
      </c>
      <c r="AJ61" s="5" t="str">
        <f>INDEX('Nike pace chart'!$BO$9:$BO$16,MATCH('Nike training program_21k'!AI61,'Nike pace chart'!$BY$9:$BY$16,0))</f>
        <v>04:46</v>
      </c>
      <c r="AK61" s="99">
        <v>0.5</v>
      </c>
      <c r="AL61" s="28" t="s">
        <v>235</v>
      </c>
      <c r="AM61" s="5"/>
      <c r="AN61" s="27"/>
      <c r="AO61" s="5"/>
      <c r="AP61" s="27"/>
      <c r="AQ61" s="28"/>
      <c r="AR61" s="5"/>
      <c r="AS61" s="46" t="s">
        <v>201</v>
      </c>
      <c r="AT61" s="5" t="str">
        <f>INDEX('Nike pace chart'!$BO$9:$BO$16,MATCH('Nike training program_21k'!AS61,'Nike pace chart'!$BY$9:$BY$16,0))</f>
        <v>05:39</v>
      </c>
      <c r="AU61" s="99">
        <v>0.5</v>
      </c>
      <c r="AV61" s="28" t="s">
        <v>240</v>
      </c>
      <c r="AW61" s="5"/>
      <c r="AX61" s="27"/>
      <c r="AY61" s="5"/>
      <c r="AZ61" s="27"/>
      <c r="BA61" s="28"/>
    </row>
    <row r="62" spans="2:53" outlineLevel="1" x14ac:dyDescent="0.25">
      <c r="B62" s="79"/>
      <c r="C62" s="5"/>
      <c r="D62" s="27"/>
      <c r="E62" s="5"/>
      <c r="F62" s="27"/>
      <c r="G62" s="5"/>
      <c r="H62" s="5"/>
      <c r="I62" s="45" t="s">
        <v>241</v>
      </c>
      <c r="J62" s="5" t="str">
        <f>INDEX('Nike pace chart'!$BO$9:$BO$16,MATCH('Nike training program_21k'!I62,'Nike pace chart'!$BY$9:$BY$16,0))</f>
        <v>04:25</v>
      </c>
      <c r="K62" s="99">
        <f>INDEX('Nike pace chart'!$BV$9:$BV$16,MATCH(I62,'Nike pace chart'!$BY$9:$BY$16,0))/1000*((_xlfn.TEXTBEFORE(L62,":")+_xlfn.TEXTAFTER(L62,":")/60))</f>
        <v>0.23</v>
      </c>
      <c r="L62" s="28" t="s">
        <v>225</v>
      </c>
      <c r="M62" s="5"/>
      <c r="N62" s="27"/>
      <c r="O62" s="5"/>
      <c r="P62" s="27"/>
      <c r="Q62" s="28"/>
      <c r="R62" s="5"/>
      <c r="S62" s="48" t="s">
        <v>198</v>
      </c>
      <c r="T62" s="5" t="str">
        <f>INDEX('Nike pace chart'!$BO$9:$BO$16,MATCH('Nike training program_21k'!S62,'Nike pace chart'!$BY$9:$BY$16,0))</f>
        <v>04:46</v>
      </c>
      <c r="U62" s="99">
        <f>INDEX('Nike pace chart'!$BV$9:$BV$16,MATCH(S62,'Nike pace chart'!$BY$9:$BY$16,0))/1000*((_xlfn.TEXTBEFORE(V62,":")+_xlfn.TEXTAFTER(V62,":")/60))</f>
        <v>2.1</v>
      </c>
      <c r="V62" s="28" t="s">
        <v>71</v>
      </c>
      <c r="W62" s="5"/>
      <c r="X62" s="27"/>
      <c r="Y62" s="5"/>
      <c r="Z62" s="27"/>
      <c r="AA62" s="28"/>
      <c r="AB62" s="102">
        <v>1</v>
      </c>
      <c r="AC62" s="5"/>
      <c r="AD62" s="27"/>
      <c r="AE62" s="5"/>
      <c r="AF62" s="27"/>
      <c r="AG62" s="5"/>
      <c r="AH62" s="5"/>
      <c r="AI62" s="45" t="s">
        <v>241</v>
      </c>
      <c r="AJ62" s="5" t="str">
        <f>INDEX('Nike pace chart'!$BO$9:$BO$16,MATCH('Nike training program_21k'!AI62,'Nike pace chart'!$BY$9:$BY$16,0))</f>
        <v>04:25</v>
      </c>
      <c r="AK62" s="99">
        <v>0.2</v>
      </c>
      <c r="AL62" s="28" t="s">
        <v>225</v>
      </c>
      <c r="AM62" s="5"/>
      <c r="AN62" s="27"/>
      <c r="AO62" s="5"/>
      <c r="AP62" s="27"/>
      <c r="AQ62" s="28"/>
      <c r="AR62" s="5"/>
      <c r="AS62" s="48" t="s">
        <v>198</v>
      </c>
      <c r="AT62" s="5" t="str">
        <f>INDEX('Nike pace chart'!$BO$9:$BO$16,MATCH('Nike training program_21k'!AS62,'Nike pace chart'!$BY$9:$BY$16,0))</f>
        <v>04:46</v>
      </c>
      <c r="AU62" s="99">
        <v>2.1</v>
      </c>
      <c r="AV62" s="28" t="s">
        <v>71</v>
      </c>
      <c r="AW62" s="5"/>
      <c r="AX62" s="27"/>
      <c r="AY62" s="5"/>
      <c r="AZ62" s="27"/>
      <c r="BA62" s="28"/>
    </row>
    <row r="63" spans="2:53" outlineLevel="1" x14ac:dyDescent="0.25">
      <c r="B63" s="79"/>
      <c r="C63" s="5"/>
      <c r="D63" s="27"/>
      <c r="E63" s="5"/>
      <c r="F63" s="27"/>
      <c r="G63" s="5"/>
      <c r="H63" s="5"/>
      <c r="I63" s="46" t="s">
        <v>201</v>
      </c>
      <c r="J63" s="5" t="str">
        <f>INDEX('Nike pace chart'!$BO$9:$BO$16,MATCH('Nike training program_21k'!I63,'Nike pace chart'!$BY$9:$BY$16,0))</f>
        <v>05:39</v>
      </c>
      <c r="K63" s="99">
        <f>INDEX('Nike pace chart'!$BV$9:$BV$16,MATCH(I63,'Nike pace chart'!$BY$9:$BY$16,0))/1000*((_xlfn.TEXTBEFORE(L63,":")+_xlfn.TEXTAFTER(L63,":")/60))</f>
        <v>0.27</v>
      </c>
      <c r="L63" s="28" t="s">
        <v>236</v>
      </c>
      <c r="M63" s="5"/>
      <c r="N63" s="27"/>
      <c r="O63" s="5"/>
      <c r="P63" s="27"/>
      <c r="Q63" s="28"/>
      <c r="R63" s="5"/>
      <c r="S63" s="46" t="s">
        <v>201</v>
      </c>
      <c r="T63" s="5" t="str">
        <f>INDEX('Nike pace chart'!$BO$9:$BO$16,MATCH('Nike training program_21k'!S63,'Nike pace chart'!$BY$9:$BY$16,0))</f>
        <v>05:39</v>
      </c>
      <c r="U63" s="99">
        <f>INDEX('Nike pace chart'!$BV$9:$BV$16,MATCH(S63,'Nike pace chart'!$BY$9:$BY$16,0))/1000*((_xlfn.TEXTBEFORE(V63,":")+_xlfn.TEXTAFTER(V63,":")/60))</f>
        <v>0.54</v>
      </c>
      <c r="V63" s="28" t="s">
        <v>235</v>
      </c>
      <c r="W63" s="5"/>
      <c r="X63" s="27"/>
      <c r="Y63" s="5"/>
      <c r="Z63" s="27"/>
      <c r="AA63" s="28"/>
      <c r="AB63" s="102">
        <v>1</v>
      </c>
      <c r="AC63" s="5"/>
      <c r="AD63" s="27"/>
      <c r="AE63" s="5"/>
      <c r="AF63" s="27"/>
      <c r="AG63" s="5"/>
      <c r="AH63" s="5"/>
      <c r="AI63" s="46" t="s">
        <v>201</v>
      </c>
      <c r="AJ63" s="5" t="str">
        <f>INDEX('Nike pace chart'!$BO$9:$BO$16,MATCH('Nike training program_21k'!AI63,'Nike pace chart'!$BY$9:$BY$16,0))</f>
        <v>05:39</v>
      </c>
      <c r="AK63" s="99">
        <v>0.3</v>
      </c>
      <c r="AL63" s="28" t="s">
        <v>236</v>
      </c>
      <c r="AM63" s="5"/>
      <c r="AN63" s="27"/>
      <c r="AO63" s="5"/>
      <c r="AP63" s="27"/>
      <c r="AQ63" s="28"/>
      <c r="AR63" s="5"/>
      <c r="AS63" s="46" t="s">
        <v>201</v>
      </c>
      <c r="AT63" s="5" t="str">
        <f>INDEX('Nike pace chart'!$BO$9:$BO$16,MATCH('Nike training program_21k'!AS63,'Nike pace chart'!$BY$9:$BY$16,0))</f>
        <v>05:39</v>
      </c>
      <c r="AU63" s="99">
        <v>0.5</v>
      </c>
      <c r="AV63" s="28" t="s">
        <v>235</v>
      </c>
      <c r="AW63" s="5"/>
      <c r="AX63" s="27"/>
      <c r="AY63" s="5"/>
      <c r="AZ63" s="27"/>
      <c r="BA63" s="28"/>
    </row>
    <row r="64" spans="2:53" outlineLevel="1" x14ac:dyDescent="0.25">
      <c r="B64" s="79"/>
      <c r="C64" s="5"/>
      <c r="D64" s="27"/>
      <c r="E64" s="5"/>
      <c r="F64" s="27"/>
      <c r="G64" s="5"/>
      <c r="H64" s="5">
        <v>1</v>
      </c>
      <c r="I64" s="49" t="s">
        <v>195</v>
      </c>
      <c r="J64" s="5" t="str">
        <f>INDEX('Nike pace chart'!$BO$9:$BO$16,MATCH('Nike training program_21k'!I64,'Nike pace chart'!$BY$9:$BY$16,0))</f>
        <v>04:37</v>
      </c>
      <c r="K64" s="99">
        <f>INDEX('Nike pace chart'!$BV$9:$BV$16,MATCH(I64,'Nike pace chart'!$BY$9:$BY$16,0))/1000*((_xlfn.TEXTBEFORE(L64,":")+_xlfn.TEXTAFTER(L64,":")/60))</f>
        <v>0.44</v>
      </c>
      <c r="L64" s="28" t="s">
        <v>228</v>
      </c>
      <c r="M64" s="5"/>
      <c r="N64" s="27"/>
      <c r="O64" s="5"/>
      <c r="P64" s="27"/>
      <c r="Q64" s="28"/>
      <c r="R64" s="5"/>
      <c r="S64" s="49" t="s">
        <v>195</v>
      </c>
      <c r="T64" s="5" t="str">
        <f>INDEX('Nike pace chart'!$BO$9:$BO$16,MATCH('Nike training program_21k'!S64,'Nike pace chart'!$BY$9:$BY$16,0))</f>
        <v>04:37</v>
      </c>
      <c r="U64" s="99">
        <f>INDEX('Nike pace chart'!$BV$9:$BV$16,MATCH(S64,'Nike pace chart'!$BY$9:$BY$16,0))/1000*((_xlfn.TEXTBEFORE(V64,":")+_xlfn.TEXTAFTER(V64,":")/60))</f>
        <v>1.1000000000000001</v>
      </c>
      <c r="V64" s="28" t="s">
        <v>227</v>
      </c>
      <c r="W64" s="5"/>
      <c r="X64" s="27"/>
      <c r="Y64" s="5"/>
      <c r="Z64" s="27"/>
      <c r="AA64" s="28"/>
      <c r="AB64" s="102">
        <v>1</v>
      </c>
      <c r="AC64" s="5"/>
      <c r="AD64" s="27"/>
      <c r="AE64" s="5"/>
      <c r="AF64" s="27"/>
      <c r="AG64" s="5"/>
      <c r="AH64" s="5"/>
      <c r="AI64" s="49" t="s">
        <v>195</v>
      </c>
      <c r="AJ64" s="5" t="str">
        <f>INDEX('Nike pace chart'!$BO$9:$BO$16,MATCH('Nike training program_21k'!AI64,'Nike pace chart'!$BY$9:$BY$16,0))</f>
        <v>04:37</v>
      </c>
      <c r="AK64" s="99">
        <v>0.4</v>
      </c>
      <c r="AL64" s="28" t="s">
        <v>228</v>
      </c>
      <c r="AM64" s="5"/>
      <c r="AN64" s="27"/>
      <c r="AO64" s="5"/>
      <c r="AP64" s="27"/>
      <c r="AQ64" s="28"/>
      <c r="AR64" s="5"/>
      <c r="AS64" s="49" t="s">
        <v>195</v>
      </c>
      <c r="AT64" s="5" t="str">
        <f>INDEX('Nike pace chart'!$BO$9:$BO$16,MATCH('Nike training program_21k'!AS64,'Nike pace chart'!$BY$9:$BY$16,0))</f>
        <v>04:37</v>
      </c>
      <c r="AU64" s="99">
        <v>1</v>
      </c>
      <c r="AV64" s="28" t="s">
        <v>227</v>
      </c>
      <c r="AW64" s="5"/>
      <c r="AX64" s="27"/>
      <c r="AY64" s="5"/>
      <c r="AZ64" s="27"/>
      <c r="BA64" s="28"/>
    </row>
    <row r="65" spans="2:53" outlineLevel="1" x14ac:dyDescent="0.25">
      <c r="B65" s="79"/>
      <c r="C65" s="5"/>
      <c r="D65" s="27"/>
      <c r="E65" s="5"/>
      <c r="F65" s="27"/>
      <c r="G65" s="5"/>
      <c r="H65" s="5"/>
      <c r="I65" s="45" t="s">
        <v>241</v>
      </c>
      <c r="J65" s="5" t="str">
        <f>INDEX('Nike pace chart'!$BO$9:$BO$16,MATCH('Nike training program_21k'!I65,'Nike pace chart'!$BY$9:$BY$16,0))</f>
        <v>04:25</v>
      </c>
      <c r="K65" s="99">
        <f>INDEX('Nike pace chart'!$BV$9:$BV$16,MATCH(I65,'Nike pace chart'!$BY$9:$BY$16,0))/1000*((_xlfn.TEXTBEFORE(L65,":")+_xlfn.TEXTAFTER(L65,":")/60))</f>
        <v>0.23</v>
      </c>
      <c r="L65" s="28" t="s">
        <v>225</v>
      </c>
      <c r="M65" s="5"/>
      <c r="N65" s="27"/>
      <c r="O65" s="5"/>
      <c r="P65" s="27"/>
      <c r="Q65" s="28"/>
      <c r="R65" s="5"/>
      <c r="S65" s="46" t="s">
        <v>201</v>
      </c>
      <c r="T65" s="5" t="str">
        <f>INDEX('Nike pace chart'!$BO$9:$BO$16,MATCH('Nike training program_21k'!S65,'Nike pace chart'!$BY$9:$BY$16,0))</f>
        <v>05:39</v>
      </c>
      <c r="U65" s="99">
        <f>INDEX('Nike pace chart'!$BV$9:$BV$16,MATCH(S65,'Nike pace chart'!$BY$9:$BY$16,0))/1000*((_xlfn.TEXTBEFORE(V65,":")+_xlfn.TEXTAFTER(V65,":")/60))</f>
        <v>0.44999999999999996</v>
      </c>
      <c r="V65" s="28" t="s">
        <v>240</v>
      </c>
      <c r="W65" s="5"/>
      <c r="X65" s="27"/>
      <c r="Y65" s="5"/>
      <c r="Z65" s="27"/>
      <c r="AA65" s="28"/>
      <c r="AB65" s="102">
        <v>1</v>
      </c>
      <c r="AC65" s="5"/>
      <c r="AD65" s="27"/>
      <c r="AE65" s="5"/>
      <c r="AF65" s="27"/>
      <c r="AG65" s="5"/>
      <c r="AH65" s="5"/>
      <c r="AI65" s="45" t="s">
        <v>241</v>
      </c>
      <c r="AJ65" s="5" t="str">
        <f>INDEX('Nike pace chart'!$BO$9:$BO$16,MATCH('Nike training program_21k'!AI65,'Nike pace chart'!$BY$9:$BY$16,0))</f>
        <v>04:25</v>
      </c>
      <c r="AK65" s="99">
        <v>0.3</v>
      </c>
      <c r="AL65" s="28" t="s">
        <v>225</v>
      </c>
      <c r="AM65" s="5"/>
      <c r="AN65" s="27"/>
      <c r="AO65" s="5"/>
      <c r="AP65" s="27"/>
      <c r="AQ65" s="28"/>
      <c r="AR65" s="5"/>
      <c r="AS65" s="46" t="s">
        <v>201</v>
      </c>
      <c r="AT65" s="5" t="str">
        <f>INDEX('Nike pace chart'!$BO$9:$BO$16,MATCH('Nike training program_21k'!AS65,'Nike pace chart'!$BY$9:$BY$16,0))</f>
        <v>05:39</v>
      </c>
      <c r="AU65" s="99">
        <v>0.5</v>
      </c>
      <c r="AV65" s="28" t="s">
        <v>240</v>
      </c>
      <c r="AW65" s="5"/>
      <c r="AX65" s="27"/>
      <c r="AY65" s="5"/>
      <c r="AZ65" s="27"/>
      <c r="BA65" s="28"/>
    </row>
    <row r="66" spans="2:53" outlineLevel="1" x14ac:dyDescent="0.25">
      <c r="B66" s="79"/>
      <c r="C66" s="5"/>
      <c r="D66" s="27"/>
      <c r="E66" s="5"/>
      <c r="F66" s="27"/>
      <c r="G66" s="5"/>
      <c r="H66" s="5"/>
      <c r="I66" s="46" t="s">
        <v>201</v>
      </c>
      <c r="J66" s="5" t="str">
        <f>INDEX('Nike pace chart'!$BO$9:$BO$16,MATCH('Nike training program_21k'!I66,'Nike pace chart'!$BY$9:$BY$16,0))</f>
        <v>05:39</v>
      </c>
      <c r="K66" s="99">
        <f>INDEX('Nike pace chart'!$BV$9:$BV$16,MATCH(I66,'Nike pace chart'!$BY$9:$BY$16,0))/1000*((_xlfn.TEXTBEFORE(L66,":")+_xlfn.TEXTAFTER(L66,":")/60))</f>
        <v>0.36</v>
      </c>
      <c r="L66" s="28" t="s">
        <v>228</v>
      </c>
      <c r="M66" s="5"/>
      <c r="N66" s="27"/>
      <c r="O66" s="5"/>
      <c r="P66" s="27"/>
      <c r="Q66" s="28"/>
      <c r="R66" s="5"/>
      <c r="S66" s="45" t="s">
        <v>241</v>
      </c>
      <c r="T66" s="5" t="str">
        <f>INDEX('Nike pace chart'!$BO$9:$BO$16,MATCH('Nike training program_21k'!S66,'Nike pace chart'!$BY$9:$BY$16,0))</f>
        <v>04:25</v>
      </c>
      <c r="U66" s="99">
        <f>INDEX('Nike pace chart'!$BV$9:$BV$16,MATCH(S66,'Nike pace chart'!$BY$9:$BY$16,0))/1000*((_xlfn.TEXTBEFORE(V66,":")+_xlfn.TEXTAFTER(V66,":")/60))</f>
        <v>0.23</v>
      </c>
      <c r="V66" s="28" t="s">
        <v>225</v>
      </c>
      <c r="W66" s="5"/>
      <c r="X66" s="27"/>
      <c r="Y66" s="5"/>
      <c r="Z66" s="27"/>
      <c r="AA66" s="28"/>
      <c r="AB66" s="102">
        <v>1</v>
      </c>
      <c r="AC66" s="5"/>
      <c r="AD66" s="27"/>
      <c r="AE66" s="5"/>
      <c r="AF66" s="27"/>
      <c r="AG66" s="5"/>
      <c r="AH66" s="5"/>
      <c r="AI66" s="46" t="s">
        <v>201</v>
      </c>
      <c r="AJ66" s="5" t="str">
        <f>INDEX('Nike pace chart'!$BO$9:$BO$16,MATCH('Nike training program_21k'!AI66,'Nike pace chart'!$BY$9:$BY$16,0))</f>
        <v>05:39</v>
      </c>
      <c r="AK66" s="99">
        <v>0.3</v>
      </c>
      <c r="AL66" s="28" t="s">
        <v>228</v>
      </c>
      <c r="AM66" s="5"/>
      <c r="AN66" s="27"/>
      <c r="AO66" s="5"/>
      <c r="AP66" s="27"/>
      <c r="AQ66" s="28"/>
      <c r="AR66" s="5"/>
      <c r="AS66" s="45" t="s">
        <v>241</v>
      </c>
      <c r="AT66" s="5" t="str">
        <f>INDEX('Nike pace chart'!$BO$9:$BO$16,MATCH('Nike training program_21k'!AS66,'Nike pace chart'!$BY$9:$BY$16,0))</f>
        <v>04:25</v>
      </c>
      <c r="AU66" s="99">
        <v>0.2</v>
      </c>
      <c r="AV66" s="28" t="s">
        <v>225</v>
      </c>
      <c r="AW66" s="5"/>
      <c r="AX66" s="27"/>
      <c r="AY66" s="5"/>
      <c r="AZ66" s="27"/>
      <c r="BA66" s="28"/>
    </row>
    <row r="67" spans="2:53" outlineLevel="1" x14ac:dyDescent="0.25">
      <c r="B67" s="79"/>
      <c r="C67" s="5"/>
      <c r="D67" s="27"/>
      <c r="E67" s="5"/>
      <c r="F67" s="27"/>
      <c r="G67" s="5"/>
      <c r="H67" s="5">
        <v>1</v>
      </c>
      <c r="I67" s="45" t="s">
        <v>241</v>
      </c>
      <c r="J67" s="5" t="str">
        <f>INDEX('Nike pace chart'!$BO$9:$BO$16,MATCH('Nike training program_21k'!I67,'Nike pace chart'!$BY$9:$BY$16,0))</f>
        <v>04:25</v>
      </c>
      <c r="K67" s="99">
        <f>INDEX('Nike pace chart'!$BV$9:$BV$16,MATCH(I67,'Nike pace chart'!$BY$9:$BY$16,0))/1000*((_xlfn.TEXTBEFORE(L67,":")+_xlfn.TEXTAFTER(L67,":")/60))</f>
        <v>0.23</v>
      </c>
      <c r="L67" s="28" t="s">
        <v>225</v>
      </c>
      <c r="M67" s="5"/>
      <c r="N67" s="27"/>
      <c r="O67" s="5"/>
      <c r="P67" s="27"/>
      <c r="Q67" s="28"/>
      <c r="R67" s="5"/>
      <c r="S67" s="46" t="s">
        <v>201</v>
      </c>
      <c r="T67" s="5" t="str">
        <f>INDEX('Nike pace chart'!$BO$9:$BO$16,MATCH('Nike training program_21k'!S67,'Nike pace chart'!$BY$9:$BY$16,0))</f>
        <v>05:39</v>
      </c>
      <c r="U67" s="99">
        <f>INDEX('Nike pace chart'!$BV$9:$BV$16,MATCH(S67,'Nike pace chart'!$BY$9:$BY$16,0))/1000*((_xlfn.TEXTBEFORE(V67,":")+_xlfn.TEXTAFTER(V67,":")/60))</f>
        <v>0.09</v>
      </c>
      <c r="V67" s="28" t="s">
        <v>230</v>
      </c>
      <c r="W67" s="5"/>
      <c r="X67" s="27"/>
      <c r="Y67" s="5"/>
      <c r="Z67" s="27"/>
      <c r="AA67" s="28"/>
      <c r="AB67" s="102">
        <v>1</v>
      </c>
      <c r="AC67" s="5"/>
      <c r="AD67" s="27"/>
      <c r="AE67" s="5"/>
      <c r="AF67" s="27"/>
      <c r="AG67" s="5"/>
      <c r="AH67" s="5"/>
      <c r="AI67" s="45" t="s">
        <v>241</v>
      </c>
      <c r="AJ67" s="5" t="str">
        <f>INDEX('Nike pace chart'!$BO$9:$BO$16,MATCH('Nike training program_21k'!AI67,'Nike pace chart'!$BY$9:$BY$16,0))</f>
        <v>04:25</v>
      </c>
      <c r="AK67" s="99">
        <v>0.2</v>
      </c>
      <c r="AL67" s="28" t="s">
        <v>225</v>
      </c>
      <c r="AM67" s="5"/>
      <c r="AN67" s="27"/>
      <c r="AO67" s="5"/>
      <c r="AP67" s="27"/>
      <c r="AQ67" s="28"/>
      <c r="AR67" s="5"/>
      <c r="AS67" s="46" t="s">
        <v>201</v>
      </c>
      <c r="AT67" s="5" t="str">
        <f>INDEX('Nike pace chart'!$BO$9:$BO$16,MATCH('Nike training program_21k'!AS67,'Nike pace chart'!$BY$9:$BY$16,0))</f>
        <v>05:39</v>
      </c>
      <c r="AU67" s="99">
        <v>0.1</v>
      </c>
      <c r="AV67" s="28" t="s">
        <v>230</v>
      </c>
      <c r="AW67" s="5"/>
      <c r="AX67" s="27"/>
      <c r="AY67" s="5"/>
      <c r="AZ67" s="27"/>
      <c r="BA67" s="28"/>
    </row>
    <row r="68" spans="2:53" outlineLevel="1" x14ac:dyDescent="0.25">
      <c r="B68" s="79"/>
      <c r="C68" s="5"/>
      <c r="D68" s="27"/>
      <c r="E68" s="5"/>
      <c r="F68" s="27"/>
      <c r="G68" s="5"/>
      <c r="H68" s="5"/>
      <c r="I68" s="51" t="s">
        <v>203</v>
      </c>
      <c r="J68" s="5" t="str">
        <f>INDEX('Nike pace chart'!$BO$9:$BO$16,MATCH('Nike training program_21k'!I68,'Nike pace chart'!$BY$9:$BY$16,0))</f>
        <v>04:13</v>
      </c>
      <c r="K68" s="99">
        <f>INDEX('Nike pace chart'!$BV$9:$BV$16,MATCH(I68,'Nike pace chart'!$BY$9:$BY$16,0))/1000*((_xlfn.TEXTBEFORE(L68,":")+_xlfn.TEXTAFTER(L68,":")/60))</f>
        <v>0.24</v>
      </c>
      <c r="L68" s="28" t="s">
        <v>225</v>
      </c>
      <c r="M68" s="5"/>
      <c r="N68" s="27"/>
      <c r="O68" s="5"/>
      <c r="P68" s="27"/>
      <c r="Q68" s="28"/>
      <c r="R68" s="5"/>
      <c r="S68" s="27"/>
      <c r="T68" s="5"/>
      <c r="U68" s="27"/>
      <c r="V68" s="28"/>
      <c r="W68" s="5"/>
      <c r="X68" s="27"/>
      <c r="Y68" s="5"/>
      <c r="Z68" s="27"/>
      <c r="AA68" s="28"/>
      <c r="AB68" s="102">
        <v>1</v>
      </c>
      <c r="AC68" s="5"/>
      <c r="AD68" s="27"/>
      <c r="AE68" s="5"/>
      <c r="AF68" s="27"/>
      <c r="AG68" s="5"/>
      <c r="AH68" s="5"/>
      <c r="AI68" s="51" t="s">
        <v>203</v>
      </c>
      <c r="AJ68" s="5" t="str">
        <f>INDEX('Nike pace chart'!$BO$9:$BO$16,MATCH('Nike training program_21k'!AI68,'Nike pace chart'!$BY$9:$BY$16,0))</f>
        <v>04:13</v>
      </c>
      <c r="AK68" s="99">
        <v>0.2</v>
      </c>
      <c r="AL68" s="28" t="s">
        <v>225</v>
      </c>
      <c r="AM68" s="5"/>
      <c r="AN68" s="27"/>
      <c r="AO68" s="5"/>
      <c r="AP68" s="27"/>
      <c r="AQ68" s="28"/>
      <c r="AR68" s="5"/>
      <c r="AS68" s="27"/>
      <c r="AT68" s="5"/>
      <c r="AU68" s="99"/>
      <c r="AV68" s="28"/>
      <c r="AW68" s="5"/>
      <c r="AX68" s="27"/>
      <c r="AY68" s="5"/>
      <c r="AZ68" s="27"/>
      <c r="BA68" s="28"/>
    </row>
    <row r="69" spans="2:53" outlineLevel="1" x14ac:dyDescent="0.25">
      <c r="B69" s="4" t="s">
        <v>232</v>
      </c>
      <c r="C69" s="5">
        <v>1</v>
      </c>
      <c r="D69" s="46" t="s">
        <v>201</v>
      </c>
      <c r="E69" s="5" t="str">
        <f>INDEX('Nike pace chart'!$BO$9:$BO$16,MATCH('Nike training program_21k'!D69,'Nike pace chart'!$BY$9:$BY$16,0))</f>
        <v>05:39</v>
      </c>
      <c r="F69" s="99">
        <f>INDEX('Nike pace chart'!$BV$9:$BV$16,MATCH(D69,'Nike pace chart'!$BY$9:$BY$16,0))/1000*((_xlfn.TEXTBEFORE(G69,":")+_xlfn.TEXTAFTER(G69,":")/60))</f>
        <v>2.6999999999999997</v>
      </c>
      <c r="G69" s="28" t="s">
        <v>233</v>
      </c>
      <c r="H69" s="5">
        <v>1</v>
      </c>
      <c r="I69" s="27" t="s">
        <v>255</v>
      </c>
      <c r="J69" s="5" t="s">
        <v>223</v>
      </c>
      <c r="K69" s="99"/>
      <c r="L69" s="28" t="s">
        <v>227</v>
      </c>
      <c r="M69" s="5">
        <v>1</v>
      </c>
      <c r="N69" s="46" t="s">
        <v>201</v>
      </c>
      <c r="O69" s="5" t="str">
        <f>INDEX('Nike pace chart'!$BO$9:$BO$16,MATCH('Nike training program_21k'!N69,'Nike pace chart'!$BY$9:$BY$16,0))</f>
        <v>05:39</v>
      </c>
      <c r="P69" s="99">
        <f>INDEX('Nike pace chart'!$BV$9:$BV$16,MATCH(N69,'Nike pace chart'!$BY$9:$BY$16,0))/1000*((_xlfn.TEXTBEFORE(Q69,":")+_xlfn.TEXTAFTER(Q69,":")/60))</f>
        <v>6.3</v>
      </c>
      <c r="Q69" s="28" t="s">
        <v>115</v>
      </c>
      <c r="R69" s="5">
        <v>1</v>
      </c>
      <c r="S69" s="27" t="s">
        <v>255</v>
      </c>
      <c r="T69" s="5" t="s">
        <v>223</v>
      </c>
      <c r="U69" s="27" t="s">
        <v>223</v>
      </c>
      <c r="V69" s="28" t="s">
        <v>227</v>
      </c>
      <c r="W69" s="5">
        <v>1</v>
      </c>
      <c r="X69" s="45" t="s">
        <v>241</v>
      </c>
      <c r="Y69" s="5" t="str">
        <f>INDEX('Nike pace chart'!$BO$9:$BO$16,MATCH('Nike training program_21k'!X69,'Nike pace chart'!$BY$9:$BY$16,0))</f>
        <v>04:25</v>
      </c>
      <c r="Z69" s="27">
        <v>16</v>
      </c>
      <c r="AA69" s="28" t="s">
        <v>223</v>
      </c>
      <c r="AB69" s="102">
        <v>1</v>
      </c>
      <c r="AC69" s="5">
        <v>1</v>
      </c>
      <c r="AD69" s="46" t="s">
        <v>201</v>
      </c>
      <c r="AE69" s="5" t="str">
        <f>INDEX('Nike pace chart'!$BO$9:$BO$16,MATCH('Nike training program_21k'!AD69,'Nike pace chart'!$BY$9:$BY$16,0))</f>
        <v>05:39</v>
      </c>
      <c r="AF69" s="27">
        <v>2.6</v>
      </c>
      <c r="AG69" s="28" t="s">
        <v>233</v>
      </c>
      <c r="AH69" s="5">
        <v>1</v>
      </c>
      <c r="AI69" s="27" t="s">
        <v>255</v>
      </c>
      <c r="AJ69" s="5" t="s">
        <v>223</v>
      </c>
      <c r="AK69" s="99"/>
      <c r="AL69" s="28" t="s">
        <v>227</v>
      </c>
      <c r="AM69" s="5">
        <v>1</v>
      </c>
      <c r="AN69" s="46" t="s">
        <v>201</v>
      </c>
      <c r="AO69" s="5" t="str">
        <f>INDEX('Nike pace chart'!$BO$9:$BO$16,MATCH('Nike training program_21k'!AN69,'Nike pace chart'!$BY$9:$BY$16,0))</f>
        <v>05:39</v>
      </c>
      <c r="AP69" s="27">
        <v>6</v>
      </c>
      <c r="AQ69" s="28" t="s">
        <v>115</v>
      </c>
      <c r="AR69" s="5">
        <v>1</v>
      </c>
      <c r="AS69" s="27" t="s">
        <v>255</v>
      </c>
      <c r="AT69" s="5" t="s">
        <v>223</v>
      </c>
      <c r="AU69" s="99" t="s">
        <v>223</v>
      </c>
      <c r="AV69" s="28" t="s">
        <v>227</v>
      </c>
      <c r="AW69" s="5">
        <v>1</v>
      </c>
      <c r="AX69" s="45" t="s">
        <v>241</v>
      </c>
      <c r="AY69" s="5"/>
      <c r="AZ69" s="27">
        <v>16</v>
      </c>
      <c r="BA69" s="28" t="s">
        <v>223</v>
      </c>
    </row>
    <row r="70" spans="2:53" outlineLevel="1" x14ac:dyDescent="0.25">
      <c r="B70" s="79"/>
      <c r="C70" s="5"/>
      <c r="D70" s="27"/>
      <c r="E70" s="5"/>
      <c r="F70" s="27"/>
      <c r="G70" s="5"/>
      <c r="H70" s="5">
        <v>3</v>
      </c>
      <c r="I70" s="49" t="s">
        <v>195</v>
      </c>
      <c r="J70" s="5" t="str">
        <f>INDEX('Nike pace chart'!$BO$9:$BO$16,MATCH('Nike training program_21k'!I70,'Nike pace chart'!$BY$9:$BY$16,0))</f>
        <v>04:37</v>
      </c>
      <c r="K70" s="99">
        <f>INDEX('Nike pace chart'!$BV$9:$BV$16,MATCH(I70,'Nike pace chart'!$BY$9:$BY$16,0))/1000*((_xlfn.TEXTBEFORE(L70,":")+_xlfn.TEXTAFTER(L70,":")/60))</f>
        <v>0.44</v>
      </c>
      <c r="L70" s="28" t="s">
        <v>228</v>
      </c>
      <c r="M70" s="5"/>
      <c r="N70" s="27"/>
      <c r="O70" s="5"/>
      <c r="P70" s="27"/>
      <c r="Q70" s="28"/>
      <c r="R70" s="5">
        <v>8</v>
      </c>
      <c r="S70" s="51" t="s">
        <v>203</v>
      </c>
      <c r="T70" s="5" t="str">
        <f>INDEX('Nike pace chart'!$BO$9:$BO$16,MATCH('Nike training program_21k'!S70,'Nike pace chart'!$BY$9:$BY$16,0))</f>
        <v>04:13</v>
      </c>
      <c r="U70" s="99">
        <f>INDEX('Nike pace chart'!$BV$9:$BV$16,MATCH(S70,'Nike pace chart'!$BY$9:$BY$16,0))/1000*((_xlfn.TEXTBEFORE(V70,":")+_xlfn.TEXTAFTER(V70,":")/60))</f>
        <v>0.24</v>
      </c>
      <c r="V70" s="28" t="s">
        <v>225</v>
      </c>
      <c r="W70" s="5"/>
      <c r="X70" s="27"/>
      <c r="Y70" s="5"/>
      <c r="Z70" s="27"/>
      <c r="AA70" s="28"/>
      <c r="AB70" s="102">
        <v>1</v>
      </c>
      <c r="AC70" s="5"/>
      <c r="AD70" s="27"/>
      <c r="AE70" s="5"/>
      <c r="AF70" s="27"/>
      <c r="AG70" s="5"/>
      <c r="AH70" s="5">
        <v>3</v>
      </c>
      <c r="AI70" s="49" t="s">
        <v>195</v>
      </c>
      <c r="AJ70" s="5" t="str">
        <f>INDEX('Nike pace chart'!$BO$9:$BO$16,MATCH('Nike training program_21k'!AI70,'Nike pace chart'!$BY$9:$BY$16,0))</f>
        <v>04:37</v>
      </c>
      <c r="AK70" s="99">
        <v>0.4</v>
      </c>
      <c r="AL70" s="28" t="s">
        <v>228</v>
      </c>
      <c r="AM70" s="5"/>
      <c r="AN70" s="27"/>
      <c r="AO70" s="5"/>
      <c r="AP70" s="27"/>
      <c r="AQ70" s="28"/>
      <c r="AR70" s="5">
        <v>8</v>
      </c>
      <c r="AS70" s="51" t="s">
        <v>203</v>
      </c>
      <c r="AT70" s="5" t="str">
        <f>INDEX('Nike pace chart'!$BO$9:$BO$16,MATCH('Nike training program_21k'!AS70,'Nike pace chart'!$BY$9:$BY$16,0))</f>
        <v>04:13</v>
      </c>
      <c r="AU70" s="99">
        <v>0.25</v>
      </c>
      <c r="AV70" s="28" t="s">
        <v>225</v>
      </c>
      <c r="AW70" s="5"/>
      <c r="AX70" s="27"/>
      <c r="AY70" s="5"/>
      <c r="AZ70" s="27"/>
      <c r="BA70" s="28"/>
    </row>
    <row r="71" spans="2:53" outlineLevel="1" x14ac:dyDescent="0.25">
      <c r="B71" s="79"/>
      <c r="C71" s="5"/>
      <c r="D71" s="27"/>
      <c r="E71" s="5"/>
      <c r="F71" s="27"/>
      <c r="G71" s="5"/>
      <c r="H71" s="5"/>
      <c r="I71" s="46" t="s">
        <v>201</v>
      </c>
      <c r="J71" s="5" t="str">
        <f>INDEX('Nike pace chart'!$BO$9:$BO$16,MATCH('Nike training program_21k'!I71,'Nike pace chart'!$BY$9:$BY$16,0))</f>
        <v>05:39</v>
      </c>
      <c r="K71" s="99">
        <f>INDEX('Nike pace chart'!$BV$9:$BV$16,MATCH(I71,'Nike pace chart'!$BY$9:$BY$16,0))/1000*((_xlfn.TEXTBEFORE(L71,":")+_xlfn.TEXTAFTER(L71,":")/60))</f>
        <v>0.18</v>
      </c>
      <c r="L71" s="28" t="s">
        <v>225</v>
      </c>
      <c r="M71" s="5"/>
      <c r="N71" s="27"/>
      <c r="O71" s="5"/>
      <c r="P71" s="27"/>
      <c r="Q71" s="28"/>
      <c r="R71" s="5"/>
      <c r="S71" s="46" t="s">
        <v>201</v>
      </c>
      <c r="T71" s="5" t="str">
        <f>INDEX('Nike pace chart'!$BO$9:$BO$16,MATCH('Nike training program_21k'!S71,'Nike pace chart'!$BY$9:$BY$16,0))</f>
        <v>05:39</v>
      </c>
      <c r="U71" s="99">
        <f>INDEX('Nike pace chart'!$BV$9:$BV$16,MATCH(S71,'Nike pace chart'!$BY$9:$BY$16,0))/1000*((_xlfn.TEXTBEFORE(V71,":")+_xlfn.TEXTAFTER(V71,":")/60))</f>
        <v>0.18</v>
      </c>
      <c r="V71" s="28" t="s">
        <v>225</v>
      </c>
      <c r="W71" s="5"/>
      <c r="X71" s="27"/>
      <c r="Y71" s="5"/>
      <c r="Z71" s="27"/>
      <c r="AA71" s="28"/>
      <c r="AB71" s="102">
        <v>1</v>
      </c>
      <c r="AC71" s="5"/>
      <c r="AD71" s="27"/>
      <c r="AE71" s="5"/>
      <c r="AF71" s="27"/>
      <c r="AG71" s="5"/>
      <c r="AH71" s="5"/>
      <c r="AI71" s="46" t="s">
        <v>201</v>
      </c>
      <c r="AJ71" s="5" t="str">
        <f>INDEX('Nike pace chart'!$BO$9:$BO$16,MATCH('Nike training program_21k'!AI71,'Nike pace chart'!$BY$9:$BY$16,0))</f>
        <v>05:39</v>
      </c>
      <c r="AK71" s="99">
        <v>0.2</v>
      </c>
      <c r="AL71" s="28" t="s">
        <v>225</v>
      </c>
      <c r="AM71" s="5"/>
      <c r="AN71" s="27"/>
      <c r="AO71" s="5"/>
      <c r="AP71" s="27"/>
      <c r="AQ71" s="28"/>
      <c r="AR71" s="5"/>
      <c r="AS71" s="46" t="s">
        <v>201</v>
      </c>
      <c r="AT71" s="5" t="str">
        <f>INDEX('Nike pace chart'!$BO$9:$BO$16,MATCH('Nike training program_21k'!AS71,'Nike pace chart'!$BY$9:$BY$16,0))</f>
        <v>05:39</v>
      </c>
      <c r="AU71" s="99">
        <v>0.15</v>
      </c>
      <c r="AV71" s="28" t="s">
        <v>225</v>
      </c>
      <c r="AW71" s="5"/>
      <c r="AX71" s="27"/>
      <c r="AY71" s="5"/>
      <c r="AZ71" s="27"/>
      <c r="BA71" s="28"/>
    </row>
    <row r="72" spans="2:53" outlineLevel="1" x14ac:dyDescent="0.25">
      <c r="B72" s="79"/>
      <c r="C72" s="5"/>
      <c r="D72" s="27"/>
      <c r="E72" s="5"/>
      <c r="F72" s="27"/>
      <c r="G72" s="5"/>
      <c r="H72" s="5">
        <v>1</v>
      </c>
      <c r="I72" s="49" t="s">
        <v>195</v>
      </c>
      <c r="J72" s="5" t="str">
        <f>INDEX('Nike pace chart'!$BO$9:$BO$16,MATCH('Nike training program_21k'!I72,'Nike pace chart'!$BY$9:$BY$16,0))</f>
        <v>04:37</v>
      </c>
      <c r="K72" s="99">
        <f>INDEX('Nike pace chart'!$BV$9:$BV$16,MATCH(I72,'Nike pace chart'!$BY$9:$BY$16,0))/1000*((_xlfn.TEXTBEFORE(L72,":")+_xlfn.TEXTAFTER(L72,":")/60))</f>
        <v>0.44</v>
      </c>
      <c r="L72" s="28" t="s">
        <v>228</v>
      </c>
      <c r="M72" s="5"/>
      <c r="N72" s="27"/>
      <c r="O72" s="5"/>
      <c r="P72" s="27"/>
      <c r="Q72" s="28"/>
      <c r="R72" s="5"/>
      <c r="S72" s="27"/>
      <c r="T72" s="5"/>
      <c r="U72" s="27"/>
      <c r="V72" s="28"/>
      <c r="W72" s="5"/>
      <c r="X72" s="27"/>
      <c r="Y72" s="5"/>
      <c r="Z72" s="27"/>
      <c r="AA72" s="28"/>
      <c r="AB72" s="102">
        <v>1</v>
      </c>
      <c r="AC72" s="5"/>
      <c r="AD72" s="27"/>
      <c r="AE72" s="5"/>
      <c r="AF72" s="27"/>
      <c r="AG72" s="5"/>
      <c r="AH72" s="5">
        <v>1</v>
      </c>
      <c r="AI72" s="49" t="s">
        <v>195</v>
      </c>
      <c r="AJ72" s="5" t="str">
        <f>INDEX('Nike pace chart'!$BO$9:$BO$16,MATCH('Nike training program_21k'!AI72,'Nike pace chart'!$BY$9:$BY$16,0))</f>
        <v>04:37</v>
      </c>
      <c r="AK72" s="99">
        <v>0.4</v>
      </c>
      <c r="AL72" s="28" t="s">
        <v>228</v>
      </c>
      <c r="AM72" s="5"/>
      <c r="AN72" s="27"/>
      <c r="AO72" s="5"/>
      <c r="AP72" s="27"/>
      <c r="AQ72" s="28"/>
      <c r="AR72" s="5"/>
      <c r="AS72" s="27"/>
      <c r="AT72" s="5"/>
      <c r="AU72" s="99"/>
      <c r="AV72" s="28"/>
      <c r="AW72" s="5"/>
      <c r="AX72" s="27"/>
      <c r="AY72" s="5"/>
      <c r="AZ72" s="27"/>
      <c r="BA72" s="28"/>
    </row>
    <row r="73" spans="2:53" outlineLevel="1" x14ac:dyDescent="0.25">
      <c r="B73" s="79"/>
      <c r="C73" s="5"/>
      <c r="D73" s="27"/>
      <c r="E73" s="5"/>
      <c r="F73" s="27"/>
      <c r="G73" s="5"/>
      <c r="H73" s="5"/>
      <c r="I73" s="46" t="s">
        <v>201</v>
      </c>
      <c r="J73" s="5" t="str">
        <f>INDEX('Nike pace chart'!$BO$9:$BO$16,MATCH('Nike training program_21k'!I73,'Nike pace chart'!$BY$9:$BY$16,0))</f>
        <v>05:39</v>
      </c>
      <c r="K73" s="99">
        <f>INDEX('Nike pace chart'!$BV$9:$BV$16,MATCH(I73,'Nike pace chart'!$BY$9:$BY$16,0))/1000*((_xlfn.TEXTBEFORE(L73,":")+_xlfn.TEXTAFTER(L73,":")/60))</f>
        <v>0.36</v>
      </c>
      <c r="L73" s="28" t="s">
        <v>228</v>
      </c>
      <c r="M73" s="5"/>
      <c r="N73" s="27"/>
      <c r="O73" s="5"/>
      <c r="P73" s="27"/>
      <c r="Q73" s="28"/>
      <c r="R73" s="5"/>
      <c r="S73" s="27"/>
      <c r="T73" s="5"/>
      <c r="U73" s="27"/>
      <c r="V73" s="28"/>
      <c r="W73" s="5"/>
      <c r="X73" s="27"/>
      <c r="Y73" s="5"/>
      <c r="Z73" s="27"/>
      <c r="AA73" s="28"/>
      <c r="AB73" s="102">
        <v>1</v>
      </c>
      <c r="AC73" s="5"/>
      <c r="AD73" s="27"/>
      <c r="AE73" s="5"/>
      <c r="AF73" s="27"/>
      <c r="AG73" s="5"/>
      <c r="AH73" s="5"/>
      <c r="AI73" s="46" t="s">
        <v>201</v>
      </c>
      <c r="AJ73" s="5" t="str">
        <f>INDEX('Nike pace chart'!$BO$9:$BO$16,MATCH('Nike training program_21k'!AI73,'Nike pace chart'!$BY$9:$BY$16,0))</f>
        <v>05:39</v>
      </c>
      <c r="AK73" s="99">
        <v>0.3</v>
      </c>
      <c r="AL73" s="28" t="s">
        <v>228</v>
      </c>
      <c r="AM73" s="5"/>
      <c r="AN73" s="27"/>
      <c r="AO73" s="5"/>
      <c r="AP73" s="27"/>
      <c r="AQ73" s="28"/>
      <c r="AR73" s="5"/>
      <c r="AS73" s="27"/>
      <c r="AT73" s="5"/>
      <c r="AU73" s="99"/>
      <c r="AV73" s="28"/>
      <c r="AW73" s="5"/>
      <c r="AX73" s="27"/>
      <c r="AY73" s="5"/>
      <c r="AZ73" s="27"/>
      <c r="BA73" s="28"/>
    </row>
    <row r="74" spans="2:53" outlineLevel="1" x14ac:dyDescent="0.25">
      <c r="B74" s="79"/>
      <c r="C74" s="5"/>
      <c r="D74" s="27"/>
      <c r="E74" s="5"/>
      <c r="F74" s="27"/>
      <c r="G74" s="5"/>
      <c r="H74" s="5">
        <v>3</v>
      </c>
      <c r="I74" s="49" t="s">
        <v>195</v>
      </c>
      <c r="J74" s="5" t="str">
        <f>INDEX('Nike pace chart'!$BO$9:$BO$16,MATCH('Nike training program_21k'!I74,'Nike pace chart'!$BY$9:$BY$16,0))</f>
        <v>04:37</v>
      </c>
      <c r="K74" s="99">
        <f>INDEX('Nike pace chart'!$BV$9:$BV$16,MATCH(I74,'Nike pace chart'!$BY$9:$BY$16,0))/1000*((_xlfn.TEXTBEFORE(L74,":")+_xlfn.TEXTAFTER(L74,":")/60))</f>
        <v>0.44</v>
      </c>
      <c r="L74" s="28" t="s">
        <v>228</v>
      </c>
      <c r="M74" s="5"/>
      <c r="N74" s="27"/>
      <c r="O74" s="5"/>
      <c r="P74" s="27"/>
      <c r="Q74" s="28"/>
      <c r="R74" s="5"/>
      <c r="S74" s="27"/>
      <c r="T74" s="5"/>
      <c r="U74" s="27"/>
      <c r="V74" s="28"/>
      <c r="W74" s="5"/>
      <c r="X74" s="27"/>
      <c r="Y74" s="5"/>
      <c r="Z74" s="27"/>
      <c r="AA74" s="28"/>
      <c r="AB74" s="102">
        <v>1</v>
      </c>
      <c r="AC74" s="5"/>
      <c r="AD74" s="27"/>
      <c r="AE74" s="5"/>
      <c r="AF74" s="27"/>
      <c r="AG74" s="5"/>
      <c r="AH74" s="5">
        <v>3</v>
      </c>
      <c r="AI74" s="49" t="s">
        <v>195</v>
      </c>
      <c r="AJ74" s="5" t="str">
        <f>INDEX('Nike pace chart'!$BO$9:$BO$16,MATCH('Nike training program_21k'!AI74,'Nike pace chart'!$BY$9:$BY$16,0))</f>
        <v>04:37</v>
      </c>
      <c r="AK74" s="99">
        <v>0.4</v>
      </c>
      <c r="AL74" s="28" t="s">
        <v>228</v>
      </c>
      <c r="AM74" s="5"/>
      <c r="AN74" s="27"/>
      <c r="AO74" s="5"/>
      <c r="AP74" s="27"/>
      <c r="AQ74" s="28"/>
      <c r="AR74" s="5"/>
      <c r="AS74" s="27"/>
      <c r="AT74" s="5"/>
      <c r="AU74" s="99"/>
      <c r="AV74" s="28"/>
      <c r="AW74" s="5"/>
      <c r="AX74" s="27"/>
      <c r="AY74" s="5"/>
      <c r="AZ74" s="27"/>
      <c r="BA74" s="28"/>
    </row>
    <row r="75" spans="2:53" outlineLevel="1" x14ac:dyDescent="0.25">
      <c r="B75" s="79"/>
      <c r="C75" s="5"/>
      <c r="D75" s="27"/>
      <c r="E75" s="5"/>
      <c r="F75" s="27"/>
      <c r="G75" s="5"/>
      <c r="H75" s="5"/>
      <c r="I75" s="46" t="s">
        <v>201</v>
      </c>
      <c r="J75" s="5" t="str">
        <f>INDEX('Nike pace chart'!$BO$9:$BO$16,MATCH('Nike training program_21k'!I75,'Nike pace chart'!$BY$9:$BY$16,0))</f>
        <v>05:39</v>
      </c>
      <c r="K75" s="99">
        <f>INDEX('Nike pace chart'!$BV$9:$BV$16,MATCH(I75,'Nike pace chart'!$BY$9:$BY$16,0))/1000*((_xlfn.TEXTBEFORE(L75,":")+_xlfn.TEXTAFTER(L75,":")/60))</f>
        <v>0.18</v>
      </c>
      <c r="L75" s="28" t="s">
        <v>225</v>
      </c>
      <c r="M75" s="5"/>
      <c r="N75" s="27"/>
      <c r="O75" s="5"/>
      <c r="P75" s="27"/>
      <c r="Q75" s="28"/>
      <c r="R75" s="5"/>
      <c r="S75" s="27"/>
      <c r="T75" s="5"/>
      <c r="U75" s="27"/>
      <c r="V75" s="28"/>
      <c r="W75" s="5"/>
      <c r="X75" s="27"/>
      <c r="Y75" s="5"/>
      <c r="Z75" s="27"/>
      <c r="AA75" s="28"/>
      <c r="AB75" s="102">
        <v>1</v>
      </c>
      <c r="AC75" s="5"/>
      <c r="AD75" s="27"/>
      <c r="AE75" s="5"/>
      <c r="AF75" s="27"/>
      <c r="AG75" s="5"/>
      <c r="AH75" s="5"/>
      <c r="AI75" s="46" t="s">
        <v>201</v>
      </c>
      <c r="AJ75" s="5" t="str">
        <f>INDEX('Nike pace chart'!$BO$9:$BO$16,MATCH('Nike training program_21k'!AI75,'Nike pace chart'!$BY$9:$BY$16,0))</f>
        <v>05:39</v>
      </c>
      <c r="AK75" s="99">
        <v>0.2</v>
      </c>
      <c r="AL75" s="28" t="s">
        <v>225</v>
      </c>
      <c r="AM75" s="5"/>
      <c r="AN75" s="27"/>
      <c r="AO75" s="5"/>
      <c r="AP75" s="27"/>
      <c r="AQ75" s="28"/>
      <c r="AR75" s="5"/>
      <c r="AS75" s="27"/>
      <c r="AT75" s="5"/>
      <c r="AU75" s="99"/>
      <c r="AV75" s="28"/>
      <c r="AW75" s="5"/>
      <c r="AX75" s="27"/>
      <c r="AY75" s="5"/>
      <c r="AZ75" s="27"/>
      <c r="BA75" s="28"/>
    </row>
    <row r="76" spans="2:53" outlineLevel="1" x14ac:dyDescent="0.25">
      <c r="B76" s="79"/>
      <c r="C76" s="5"/>
      <c r="D76" s="27"/>
      <c r="E76" s="5"/>
      <c r="F76" s="27"/>
      <c r="G76" s="5"/>
      <c r="H76" s="5">
        <v>1</v>
      </c>
      <c r="I76" s="49" t="s">
        <v>195</v>
      </c>
      <c r="J76" s="5" t="str">
        <f>INDEX('Nike pace chart'!$BO$9:$BO$16,MATCH('Nike training program_21k'!I76,'Nike pace chart'!$BY$9:$BY$16,0))</f>
        <v>04:37</v>
      </c>
      <c r="K76" s="99">
        <f>INDEX('Nike pace chart'!$BV$9:$BV$16,MATCH(I76,'Nike pace chart'!$BY$9:$BY$16,0))/1000*((_xlfn.TEXTBEFORE(L76,":")+_xlfn.TEXTAFTER(L76,":")/60))</f>
        <v>0.44</v>
      </c>
      <c r="L76" s="28" t="s">
        <v>228</v>
      </c>
      <c r="M76" s="5"/>
      <c r="N76" s="27"/>
      <c r="O76" s="5"/>
      <c r="P76" s="27"/>
      <c r="Q76" s="28"/>
      <c r="R76" s="5"/>
      <c r="S76" s="27"/>
      <c r="T76" s="5"/>
      <c r="U76" s="27"/>
      <c r="V76" s="28"/>
      <c r="W76" s="5"/>
      <c r="X76" s="27"/>
      <c r="Y76" s="5"/>
      <c r="Z76" s="27"/>
      <c r="AA76" s="28"/>
      <c r="AB76" s="102">
        <v>1</v>
      </c>
      <c r="AC76" s="5"/>
      <c r="AD76" s="27"/>
      <c r="AE76" s="5"/>
      <c r="AF76" s="27"/>
      <c r="AG76" s="5"/>
      <c r="AH76" s="5">
        <v>1</v>
      </c>
      <c r="AI76" s="49" t="s">
        <v>195</v>
      </c>
      <c r="AJ76" s="5" t="str">
        <f>INDEX('Nike pace chart'!$BO$9:$BO$16,MATCH('Nike training program_21k'!AI76,'Nike pace chart'!$BY$9:$BY$16,0))</f>
        <v>04:37</v>
      </c>
      <c r="AK76" s="99">
        <v>0.5</v>
      </c>
      <c r="AL76" s="28" t="s">
        <v>228</v>
      </c>
      <c r="AM76" s="5"/>
      <c r="AN76" s="27"/>
      <c r="AO76" s="5"/>
      <c r="AP76" s="27"/>
      <c r="AQ76" s="28"/>
      <c r="AR76" s="5"/>
      <c r="AS76" s="27"/>
      <c r="AT76" s="5"/>
      <c r="AU76" s="99"/>
      <c r="AV76" s="28"/>
      <c r="AW76" s="5"/>
      <c r="AX76" s="27"/>
      <c r="AY76" s="5"/>
      <c r="AZ76" s="27"/>
      <c r="BA76" s="28"/>
    </row>
    <row r="77" spans="2:53" outlineLevel="1" x14ac:dyDescent="0.25">
      <c r="B77" s="79"/>
      <c r="C77" s="5"/>
      <c r="D77" s="27"/>
      <c r="E77" s="5"/>
      <c r="F77" s="27"/>
      <c r="G77" s="5"/>
      <c r="H77" s="5"/>
      <c r="I77" s="46" t="s">
        <v>201</v>
      </c>
      <c r="J77" s="5" t="str">
        <f>INDEX('Nike pace chart'!$BO$9:$BO$16,MATCH('Nike training program_21k'!I77,'Nike pace chart'!$BY$9:$BY$16,0))</f>
        <v>05:39</v>
      </c>
      <c r="K77" s="99">
        <f>INDEX('Nike pace chart'!$BV$9:$BV$16,MATCH(I77,'Nike pace chart'!$BY$9:$BY$16,0))/1000*((_xlfn.TEXTBEFORE(L77,":")+_xlfn.TEXTAFTER(L77,":")/60))</f>
        <v>0.36</v>
      </c>
      <c r="L77" s="28" t="s">
        <v>228</v>
      </c>
      <c r="M77" s="5"/>
      <c r="N77" s="27"/>
      <c r="O77" s="5"/>
      <c r="P77" s="27"/>
      <c r="Q77" s="28"/>
      <c r="R77" s="5"/>
      <c r="S77" s="27"/>
      <c r="T77" s="5"/>
      <c r="U77" s="27"/>
      <c r="V77" s="28"/>
      <c r="W77" s="5"/>
      <c r="X77" s="27"/>
      <c r="Y77" s="5"/>
      <c r="Z77" s="27"/>
      <c r="AA77" s="28"/>
      <c r="AB77" s="102">
        <v>1</v>
      </c>
      <c r="AC77" s="5"/>
      <c r="AD77" s="27"/>
      <c r="AE77" s="5"/>
      <c r="AF77" s="27"/>
      <c r="AG77" s="5"/>
      <c r="AH77" s="5"/>
      <c r="AI77" s="46" t="s">
        <v>201</v>
      </c>
      <c r="AJ77" s="5" t="str">
        <f>INDEX('Nike pace chart'!$BO$9:$BO$16,MATCH('Nike training program_21k'!AI77,'Nike pace chart'!$BY$9:$BY$16,0))</f>
        <v>05:39</v>
      </c>
      <c r="AK77" s="99">
        <v>0.4</v>
      </c>
      <c r="AL77" s="28" t="s">
        <v>228</v>
      </c>
      <c r="AM77" s="5"/>
      <c r="AN77" s="27"/>
      <c r="AO77" s="5"/>
      <c r="AP77" s="27"/>
      <c r="AQ77" s="28"/>
      <c r="AR77" s="5"/>
      <c r="AS77" s="27"/>
      <c r="AT77" s="5"/>
      <c r="AU77" s="99"/>
      <c r="AV77" s="28"/>
      <c r="AW77" s="5"/>
      <c r="AX77" s="27"/>
      <c r="AY77" s="5"/>
      <c r="AZ77" s="27"/>
      <c r="BA77" s="28"/>
    </row>
    <row r="78" spans="2:53" outlineLevel="1" x14ac:dyDescent="0.25">
      <c r="B78" s="4" t="s">
        <v>238</v>
      </c>
      <c r="C78" s="5">
        <v>1</v>
      </c>
      <c r="D78" s="46" t="s">
        <v>201</v>
      </c>
      <c r="E78" s="5" t="str">
        <f>INDEX('Nike pace chart'!$BO$9:$BO$16,MATCH('Nike training program_21k'!D78,'Nike pace chart'!$BY$9:$BY$16,0))</f>
        <v>05:39</v>
      </c>
      <c r="F78" s="99">
        <f>INDEX('Nike pace chart'!$BV$9:$BV$16,MATCH(D78,'Nike pace chart'!$BY$9:$BY$16,0))/1000*((_xlfn.TEXTBEFORE(G78,":")+_xlfn.TEXTAFTER(G78,":")/60))</f>
        <v>2.6999999999999997</v>
      </c>
      <c r="G78" s="28" t="s">
        <v>233</v>
      </c>
      <c r="H78" s="5">
        <v>1</v>
      </c>
      <c r="I78" s="27" t="s">
        <v>255</v>
      </c>
      <c r="J78" s="5" t="s">
        <v>223</v>
      </c>
      <c r="K78" s="99"/>
      <c r="L78" s="28" t="s">
        <v>234</v>
      </c>
      <c r="M78" s="5">
        <v>1</v>
      </c>
      <c r="N78" s="46" t="s">
        <v>201</v>
      </c>
      <c r="O78" s="5" t="str">
        <f>INDEX('Nike pace chart'!$BO$9:$BO$16,MATCH('Nike training program_21k'!N78,'Nike pace chart'!$BY$9:$BY$16,0))</f>
        <v>05:39</v>
      </c>
      <c r="P78" s="99">
        <f>INDEX('Nike pace chart'!$BV$9:$BV$16,MATCH(N78,'Nike pace chart'!$BY$9:$BY$16,0))/1000*((_xlfn.TEXTBEFORE(Q78,":")+_xlfn.TEXTAFTER(Q78,":")/60))</f>
        <v>6.3</v>
      </c>
      <c r="Q78" s="28" t="s">
        <v>115</v>
      </c>
      <c r="R78" s="5">
        <v>1</v>
      </c>
      <c r="S78" s="27" t="s">
        <v>255</v>
      </c>
      <c r="T78" s="5" t="s">
        <v>223</v>
      </c>
      <c r="U78" s="27">
        <v>2</v>
      </c>
      <c r="V78" s="28" t="s">
        <v>223</v>
      </c>
      <c r="W78" s="5">
        <v>1</v>
      </c>
      <c r="X78" s="45" t="s">
        <v>241</v>
      </c>
      <c r="Y78" s="5" t="str">
        <f>INDEX('Nike pace chart'!$BO$9:$BO$16,MATCH('Nike training program_21k'!X78,'Nike pace chart'!$BY$9:$BY$16,0))</f>
        <v>04:25</v>
      </c>
      <c r="Z78" s="27">
        <v>16</v>
      </c>
      <c r="AA78" s="28" t="s">
        <v>223</v>
      </c>
      <c r="AB78" s="102">
        <v>1</v>
      </c>
      <c r="AC78" s="5">
        <v>1</v>
      </c>
      <c r="AD78" s="46" t="s">
        <v>201</v>
      </c>
      <c r="AE78" s="5" t="str">
        <f>INDEX('Nike pace chart'!$BO$9:$BO$16,MATCH('Nike training program_21k'!AD78,'Nike pace chart'!$BY$9:$BY$16,0))</f>
        <v>05:39</v>
      </c>
      <c r="AF78" s="27">
        <v>2.6</v>
      </c>
      <c r="AG78" s="28" t="s">
        <v>233</v>
      </c>
      <c r="AH78" s="5">
        <v>1</v>
      </c>
      <c r="AI78" s="27" t="s">
        <v>255</v>
      </c>
      <c r="AJ78" s="5" t="s">
        <v>223</v>
      </c>
      <c r="AK78" s="99"/>
      <c r="AL78" s="28" t="s">
        <v>234</v>
      </c>
      <c r="AM78" s="5">
        <v>1</v>
      </c>
      <c r="AN78" s="46" t="s">
        <v>201</v>
      </c>
      <c r="AO78" s="5" t="str">
        <f>INDEX('Nike pace chart'!$BO$9:$BO$16,MATCH('Nike training program_21k'!AN78,'Nike pace chart'!$BY$9:$BY$16,0))</f>
        <v>05:39</v>
      </c>
      <c r="AP78" s="27">
        <v>6</v>
      </c>
      <c r="AQ78" s="28" t="s">
        <v>115</v>
      </c>
      <c r="AR78" s="5">
        <v>1</v>
      </c>
      <c r="AS78" s="27" t="s">
        <v>255</v>
      </c>
      <c r="AT78" s="5" t="s">
        <v>223</v>
      </c>
      <c r="AU78" s="99" t="s">
        <v>223</v>
      </c>
      <c r="AV78" s="28" t="s">
        <v>223</v>
      </c>
      <c r="AW78" s="5">
        <v>1</v>
      </c>
      <c r="AX78" s="45" t="s">
        <v>241</v>
      </c>
      <c r="AY78" s="5"/>
      <c r="AZ78" s="27">
        <v>16</v>
      </c>
      <c r="BA78" s="28" t="s">
        <v>223</v>
      </c>
    </row>
    <row r="79" spans="2:53" outlineLevel="1" x14ac:dyDescent="0.25">
      <c r="B79" s="79"/>
      <c r="C79" s="5"/>
      <c r="D79" s="27"/>
      <c r="E79" s="5"/>
      <c r="F79" s="27"/>
      <c r="G79" s="5"/>
      <c r="H79" s="5">
        <v>1</v>
      </c>
      <c r="I79" s="48" t="s">
        <v>198</v>
      </c>
      <c r="J79" s="5" t="str">
        <f>INDEX('Nike pace chart'!$BO$9:$BO$16,MATCH('Nike training program_21k'!I79,'Nike pace chart'!$BY$9:$BY$16,0))</f>
        <v>04:46</v>
      </c>
      <c r="K79" s="99">
        <f>INDEX('Nike pace chart'!$BV$9:$BV$16,MATCH(I79,'Nike pace chart'!$BY$9:$BY$16,0))/1000*((_xlfn.TEXTBEFORE(L79,":")+_xlfn.TEXTAFTER(L79,":")/60))</f>
        <v>1.05</v>
      </c>
      <c r="L79" s="28" t="s">
        <v>227</v>
      </c>
      <c r="M79" s="5"/>
      <c r="N79" s="27"/>
      <c r="O79" s="5"/>
      <c r="P79" s="27"/>
      <c r="Q79" s="28"/>
      <c r="R79" s="5">
        <v>1</v>
      </c>
      <c r="S79" s="52" t="s">
        <v>202</v>
      </c>
      <c r="T79" s="5" t="str">
        <f>INDEX('Nike pace chart'!$BO$9:$BO$16,MATCH('Nike training program_21k'!S79,'Nike pace chart'!$BY$9:$BY$16,0))</f>
        <v>04:59</v>
      </c>
      <c r="U79" s="27">
        <v>8</v>
      </c>
      <c r="V79" s="28" t="s">
        <v>223</v>
      </c>
      <c r="W79" s="5"/>
      <c r="X79" s="27"/>
      <c r="Y79" s="5"/>
      <c r="Z79" s="27"/>
      <c r="AA79" s="28"/>
      <c r="AB79" s="102">
        <v>1</v>
      </c>
      <c r="AC79" s="5"/>
      <c r="AD79" s="27"/>
      <c r="AE79" s="5"/>
      <c r="AF79" s="27"/>
      <c r="AG79" s="5"/>
      <c r="AH79" s="5">
        <v>1</v>
      </c>
      <c r="AI79" s="48" t="s">
        <v>198</v>
      </c>
      <c r="AJ79" s="5" t="str">
        <f>INDEX('Nike pace chart'!$BO$9:$BO$16,MATCH('Nike training program_21k'!AI79,'Nike pace chart'!$BY$9:$BY$16,0))</f>
        <v>04:46</v>
      </c>
      <c r="AK79" s="99">
        <v>1</v>
      </c>
      <c r="AL79" s="28" t="s">
        <v>227</v>
      </c>
      <c r="AM79" s="5"/>
      <c r="AN79" s="27"/>
      <c r="AO79" s="5"/>
      <c r="AP79" s="27"/>
      <c r="AQ79" s="28"/>
      <c r="AR79" s="5">
        <v>1</v>
      </c>
      <c r="AS79" s="52" t="s">
        <v>202</v>
      </c>
      <c r="AT79" s="131">
        <v>0.22222222222222221</v>
      </c>
      <c r="AU79" s="99">
        <v>1</v>
      </c>
      <c r="AV79" s="28" t="s">
        <v>223</v>
      </c>
      <c r="AW79" s="5"/>
      <c r="AX79" s="27"/>
      <c r="AY79" s="5"/>
      <c r="AZ79" s="27"/>
      <c r="BA79" s="28"/>
    </row>
    <row r="80" spans="2:53" outlineLevel="1" x14ac:dyDescent="0.25">
      <c r="B80" s="79"/>
      <c r="C80" s="5"/>
      <c r="D80" s="27"/>
      <c r="E80" s="5"/>
      <c r="F80" s="27"/>
      <c r="G80" s="5"/>
      <c r="H80" s="5"/>
      <c r="I80" s="46" t="s">
        <v>201</v>
      </c>
      <c r="J80" s="5" t="str">
        <f>INDEX('Nike pace chart'!$BO$9:$BO$16,MATCH('Nike training program_21k'!I80,'Nike pace chart'!$BY$9:$BY$16,0))</f>
        <v>05:39</v>
      </c>
      <c r="K80" s="99">
        <f>INDEX('Nike pace chart'!$BV$9:$BV$16,MATCH(I80,'Nike pace chart'!$BY$9:$BY$16,0))/1000*((_xlfn.TEXTBEFORE(L80,":")+_xlfn.TEXTAFTER(L80,":")/60))</f>
        <v>0.27</v>
      </c>
      <c r="L80" s="28" t="s">
        <v>236</v>
      </c>
      <c r="M80" s="5"/>
      <c r="N80" s="27"/>
      <c r="O80" s="5"/>
      <c r="P80" s="27"/>
      <c r="Q80" s="28"/>
      <c r="R80" s="5"/>
      <c r="S80" s="46" t="s">
        <v>201</v>
      </c>
      <c r="T80" s="5" t="str">
        <f>INDEX('Nike pace chart'!$BO$9:$BO$16,MATCH('Nike training program_21k'!S80,'Nike pace chart'!$BY$9:$BY$16,0))</f>
        <v>05:39</v>
      </c>
      <c r="U80" s="27">
        <v>2</v>
      </c>
      <c r="V80" s="28" t="s">
        <v>223</v>
      </c>
      <c r="W80" s="5"/>
      <c r="X80" s="27"/>
      <c r="Y80" s="5"/>
      <c r="Z80" s="27"/>
      <c r="AA80" s="28"/>
      <c r="AB80" s="102">
        <v>1</v>
      </c>
      <c r="AC80" s="5"/>
      <c r="AD80" s="27"/>
      <c r="AE80" s="5"/>
      <c r="AF80" s="27"/>
      <c r="AG80" s="5"/>
      <c r="AH80" s="5"/>
      <c r="AI80" s="46" t="s">
        <v>201</v>
      </c>
      <c r="AJ80" s="5" t="str">
        <f>INDEX('Nike pace chart'!$BO$9:$BO$16,MATCH('Nike training program_21k'!AI80,'Nike pace chart'!$BY$9:$BY$16,0))</f>
        <v>05:39</v>
      </c>
      <c r="AK80" s="99">
        <v>0.3</v>
      </c>
      <c r="AL80" s="28" t="s">
        <v>236</v>
      </c>
      <c r="AM80" s="5"/>
      <c r="AN80" s="27"/>
      <c r="AO80" s="5"/>
      <c r="AP80" s="27"/>
      <c r="AQ80" s="28"/>
      <c r="AR80" s="5"/>
      <c r="AS80" s="27"/>
      <c r="AT80" s="131">
        <v>0.21527777777777779</v>
      </c>
      <c r="AU80" s="99">
        <v>1</v>
      </c>
      <c r="AV80" s="28" t="s">
        <v>223</v>
      </c>
      <c r="AW80" s="5"/>
      <c r="AX80" s="27"/>
      <c r="AY80" s="5"/>
      <c r="AZ80" s="27"/>
      <c r="BA80" s="28"/>
    </row>
    <row r="81" spans="2:53" outlineLevel="1" x14ac:dyDescent="0.25">
      <c r="B81" s="79"/>
      <c r="C81" s="5"/>
      <c r="D81" s="27"/>
      <c r="E81" s="5"/>
      <c r="F81" s="27"/>
      <c r="G81" s="5"/>
      <c r="H81" s="5">
        <v>1</v>
      </c>
      <c r="I81" s="49" t="s">
        <v>195</v>
      </c>
      <c r="J81" s="5" t="str">
        <f>INDEX('Nike pace chart'!$BO$9:$BO$16,MATCH('Nike training program_21k'!I81,'Nike pace chart'!$BY$9:$BY$16,0))</f>
        <v>04:37</v>
      </c>
      <c r="K81" s="99">
        <f>INDEX('Nike pace chart'!$BV$9:$BV$16,MATCH(I81,'Nike pace chart'!$BY$9:$BY$16,0))/1000*((_xlfn.TEXTBEFORE(L81,":")+_xlfn.TEXTAFTER(L81,":")/60))</f>
        <v>0.55000000000000004</v>
      </c>
      <c r="L81" s="28" t="s">
        <v>240</v>
      </c>
      <c r="M81" s="5"/>
      <c r="N81" s="27"/>
      <c r="O81" s="5"/>
      <c r="P81" s="27"/>
      <c r="Q81" s="28"/>
      <c r="R81" s="5"/>
      <c r="S81" s="27"/>
      <c r="T81" s="5"/>
      <c r="U81" s="27"/>
      <c r="V81" s="28"/>
      <c r="W81" s="5"/>
      <c r="X81" s="27"/>
      <c r="Y81" s="5"/>
      <c r="Z81" s="27"/>
      <c r="AA81" s="28"/>
      <c r="AB81" s="102">
        <v>1</v>
      </c>
      <c r="AC81" s="5"/>
      <c r="AD81" s="27"/>
      <c r="AE81" s="5"/>
      <c r="AF81" s="27"/>
      <c r="AG81" s="5"/>
      <c r="AH81" s="5"/>
      <c r="AI81" s="49" t="s">
        <v>195</v>
      </c>
      <c r="AJ81" s="5" t="str">
        <f>INDEX('Nike pace chart'!$BO$9:$BO$16,MATCH('Nike training program_21k'!AI81,'Nike pace chart'!$BY$9:$BY$16,0))</f>
        <v>04:37</v>
      </c>
      <c r="AK81" s="99">
        <v>0.5</v>
      </c>
      <c r="AL81" s="28" t="s">
        <v>240</v>
      </c>
      <c r="AM81" s="5"/>
      <c r="AN81" s="27"/>
      <c r="AO81" s="5"/>
      <c r="AP81" s="27"/>
      <c r="AQ81" s="28"/>
      <c r="AR81" s="5"/>
      <c r="AS81" s="27"/>
      <c r="AT81" s="131">
        <v>0.20833333333333334</v>
      </c>
      <c r="AU81" s="99">
        <v>5</v>
      </c>
      <c r="AV81" s="28"/>
      <c r="AW81" s="5"/>
      <c r="AX81" s="27"/>
      <c r="AY81" s="5"/>
      <c r="AZ81" s="27"/>
      <c r="BA81" s="28"/>
    </row>
    <row r="82" spans="2:53" outlineLevel="1" x14ac:dyDescent="0.25">
      <c r="B82" s="79"/>
      <c r="C82" s="5"/>
      <c r="D82" s="27"/>
      <c r="E82" s="5"/>
      <c r="F82" s="27"/>
      <c r="G82" s="5"/>
      <c r="H82" s="5"/>
      <c r="I82" s="46" t="s">
        <v>201</v>
      </c>
      <c r="J82" s="5" t="str">
        <f>INDEX('Nike pace chart'!$BO$9:$BO$16,MATCH('Nike training program_21k'!I82,'Nike pace chart'!$BY$9:$BY$16,0))</f>
        <v>05:39</v>
      </c>
      <c r="K82" s="99">
        <f>INDEX('Nike pace chart'!$BV$9:$BV$16,MATCH(I82,'Nike pace chart'!$BY$9:$BY$16,0))/1000*((_xlfn.TEXTBEFORE(L82,":")+_xlfn.TEXTAFTER(L82,":")/60))</f>
        <v>0.27</v>
      </c>
      <c r="L82" s="28" t="s">
        <v>236</v>
      </c>
      <c r="M82" s="5"/>
      <c r="N82" s="27"/>
      <c r="O82" s="5"/>
      <c r="P82" s="27"/>
      <c r="Q82" s="28"/>
      <c r="R82" s="5"/>
      <c r="S82" s="27"/>
      <c r="T82" s="5"/>
      <c r="U82" s="27"/>
      <c r="V82" s="28"/>
      <c r="W82" s="5"/>
      <c r="X82" s="27"/>
      <c r="Y82" s="5"/>
      <c r="Z82" s="27"/>
      <c r="AA82" s="28"/>
      <c r="AB82" s="102">
        <v>1</v>
      </c>
      <c r="AC82" s="5"/>
      <c r="AD82" s="27"/>
      <c r="AE82" s="5"/>
      <c r="AF82" s="27"/>
      <c r="AG82" s="5"/>
      <c r="AH82" s="5"/>
      <c r="AI82" s="46" t="s">
        <v>201</v>
      </c>
      <c r="AJ82" s="5" t="str">
        <f>INDEX('Nike pace chart'!$BO$9:$BO$16,MATCH('Nike training program_21k'!AI82,'Nike pace chart'!$BY$9:$BY$16,0))</f>
        <v>05:39</v>
      </c>
      <c r="AK82" s="99">
        <v>0.3</v>
      </c>
      <c r="AL82" s="28" t="s">
        <v>236</v>
      </c>
      <c r="AM82" s="5"/>
      <c r="AN82" s="27"/>
      <c r="AO82" s="5"/>
      <c r="AP82" s="27"/>
      <c r="AQ82" s="28"/>
      <c r="AR82" s="5"/>
      <c r="AS82" s="46" t="s">
        <v>201</v>
      </c>
      <c r="AT82" s="5" t="str">
        <f>INDEX('Nike pace chart'!$BO$9:$BO$16,MATCH('Nike training program_21k'!AS82,'Nike pace chart'!$BY$9:$BY$16,0))</f>
        <v>05:39</v>
      </c>
      <c r="AU82" s="99">
        <v>2</v>
      </c>
      <c r="AV82" s="28" t="s">
        <v>223</v>
      </c>
      <c r="AW82" s="5"/>
      <c r="AX82" s="27"/>
      <c r="AY82" s="5"/>
      <c r="AZ82" s="27"/>
      <c r="BA82" s="28"/>
    </row>
    <row r="83" spans="2:53" outlineLevel="1" x14ac:dyDescent="0.25">
      <c r="B83" s="79"/>
      <c r="C83" s="5"/>
      <c r="D83" s="27"/>
      <c r="E83" s="5"/>
      <c r="F83" s="27"/>
      <c r="G83" s="5"/>
      <c r="H83" s="5">
        <v>1</v>
      </c>
      <c r="I83" s="45" t="s">
        <v>241</v>
      </c>
      <c r="J83" s="5" t="str">
        <f>INDEX('Nike pace chart'!$BO$9:$BO$16,MATCH('Nike training program_21k'!I83,'Nike pace chart'!$BY$9:$BY$16,0))</f>
        <v>04:25</v>
      </c>
      <c r="K83" s="99">
        <f>INDEX('Nike pace chart'!$BV$9:$BV$16,MATCH(I83,'Nike pace chart'!$BY$9:$BY$16,0))/1000*((_xlfn.TEXTBEFORE(L83,":")+_xlfn.TEXTAFTER(L83,":")/60))</f>
        <v>0.23</v>
      </c>
      <c r="L83" s="28" t="s">
        <v>225</v>
      </c>
      <c r="M83" s="5"/>
      <c r="N83" s="27"/>
      <c r="O83" s="5"/>
      <c r="P83" s="27"/>
      <c r="Q83" s="28"/>
      <c r="R83" s="5"/>
      <c r="S83" s="27"/>
      <c r="T83" s="5"/>
      <c r="U83" s="27"/>
      <c r="V83" s="28"/>
      <c r="W83" s="5"/>
      <c r="X83" s="27"/>
      <c r="Y83" s="5"/>
      <c r="Z83" s="27"/>
      <c r="AA83" s="28"/>
      <c r="AB83" s="102">
        <v>1</v>
      </c>
      <c r="AC83" s="5"/>
      <c r="AD83" s="27"/>
      <c r="AE83" s="5"/>
      <c r="AF83" s="27"/>
      <c r="AG83" s="5"/>
      <c r="AH83" s="5"/>
      <c r="AI83" s="45" t="s">
        <v>241</v>
      </c>
      <c r="AJ83" s="5" t="str">
        <f>INDEX('Nike pace chart'!$BO$9:$BO$16,MATCH('Nike training program_21k'!AI83,'Nike pace chart'!$BY$9:$BY$16,0))</f>
        <v>04:25</v>
      </c>
      <c r="AK83" s="99">
        <v>0.2</v>
      </c>
      <c r="AL83" s="28" t="s">
        <v>225</v>
      </c>
      <c r="AM83" s="5"/>
      <c r="AN83" s="27"/>
      <c r="AO83" s="5"/>
      <c r="AP83" s="27"/>
      <c r="AQ83" s="28"/>
      <c r="AR83" s="5"/>
      <c r="AS83" s="27"/>
      <c r="AT83" s="5"/>
      <c r="AU83" s="99"/>
      <c r="AV83" s="28"/>
      <c r="AW83" s="5"/>
      <c r="AX83" s="27"/>
      <c r="AY83" s="5"/>
      <c r="AZ83" s="27"/>
      <c r="BA83" s="28"/>
    </row>
    <row r="84" spans="2:53" outlineLevel="1" x14ac:dyDescent="0.25">
      <c r="B84" s="79"/>
      <c r="C84" s="5"/>
      <c r="D84" s="27"/>
      <c r="E84" s="5"/>
      <c r="F84" s="27"/>
      <c r="G84" s="5"/>
      <c r="H84" s="5"/>
      <c r="I84" s="46" t="s">
        <v>201</v>
      </c>
      <c r="J84" s="5" t="str">
        <f>INDEX('Nike pace chart'!$BO$9:$BO$16,MATCH('Nike training program_21k'!I84,'Nike pace chart'!$BY$9:$BY$16,0))</f>
        <v>05:39</v>
      </c>
      <c r="K84" s="99">
        <f>INDEX('Nike pace chart'!$BV$9:$BV$16,MATCH(I84,'Nike pace chart'!$BY$9:$BY$16,0))/1000*((_xlfn.TEXTBEFORE(L84,":")+_xlfn.TEXTAFTER(L84,":")/60))</f>
        <v>0.18</v>
      </c>
      <c r="L84" s="28" t="s">
        <v>225</v>
      </c>
      <c r="M84" s="5"/>
      <c r="N84" s="27"/>
      <c r="O84" s="5"/>
      <c r="P84" s="27"/>
      <c r="Q84" s="28"/>
      <c r="R84" s="5"/>
      <c r="S84" s="27"/>
      <c r="T84" s="5"/>
      <c r="U84" s="27"/>
      <c r="V84" s="28"/>
      <c r="W84" s="5"/>
      <c r="X84" s="27"/>
      <c r="Y84" s="5"/>
      <c r="Z84" s="27"/>
      <c r="AA84" s="28"/>
      <c r="AB84" s="102">
        <v>1</v>
      </c>
      <c r="AC84" s="5"/>
      <c r="AD84" s="27"/>
      <c r="AE84" s="5"/>
      <c r="AF84" s="27"/>
      <c r="AG84" s="5"/>
      <c r="AH84" s="5"/>
      <c r="AI84" s="46" t="s">
        <v>201</v>
      </c>
      <c r="AJ84" s="5" t="str">
        <f>INDEX('Nike pace chart'!$BO$9:$BO$16,MATCH('Nike training program_21k'!AI84,'Nike pace chart'!$BY$9:$BY$16,0))</f>
        <v>05:39</v>
      </c>
      <c r="AK84" s="99">
        <v>0.2</v>
      </c>
      <c r="AL84" s="28" t="s">
        <v>225</v>
      </c>
      <c r="AM84" s="5"/>
      <c r="AN84" s="27"/>
      <c r="AO84" s="5"/>
      <c r="AP84" s="27"/>
      <c r="AQ84" s="28"/>
      <c r="AR84" s="5"/>
      <c r="AS84" s="27"/>
      <c r="AT84" s="5"/>
      <c r="AU84" s="99"/>
      <c r="AV84" s="28"/>
      <c r="AW84" s="5"/>
      <c r="AX84" s="27"/>
      <c r="AY84" s="5"/>
      <c r="AZ84" s="27"/>
      <c r="BA84" s="28"/>
    </row>
    <row r="85" spans="2:53" outlineLevel="1" x14ac:dyDescent="0.25">
      <c r="B85" s="79"/>
      <c r="C85" s="5"/>
      <c r="D85" s="27"/>
      <c r="E85" s="5"/>
      <c r="F85" s="27"/>
      <c r="G85" s="5"/>
      <c r="H85" s="5">
        <v>1</v>
      </c>
      <c r="I85" s="51" t="s">
        <v>203</v>
      </c>
      <c r="J85" s="5" t="str">
        <f>INDEX('Nike pace chart'!$BO$9:$BO$16,MATCH('Nike training program_21k'!I85,'Nike pace chart'!$BY$9:$BY$16,0))</f>
        <v>04:13</v>
      </c>
      <c r="K85" s="99">
        <f>INDEX('Nike pace chart'!$BV$9:$BV$16,MATCH(I85,'Nike pace chart'!$BY$9:$BY$16,0))/1000*((_xlfn.TEXTBEFORE(L85,":")+_xlfn.TEXTAFTER(L85,":")/60))</f>
        <v>0.12</v>
      </c>
      <c r="L85" s="28" t="s">
        <v>230</v>
      </c>
      <c r="M85" s="5"/>
      <c r="N85" s="27"/>
      <c r="O85" s="5"/>
      <c r="P85" s="27"/>
      <c r="Q85" s="28"/>
      <c r="R85" s="5"/>
      <c r="S85" s="27"/>
      <c r="T85" s="5"/>
      <c r="U85" s="27"/>
      <c r="V85" s="28"/>
      <c r="W85" s="5"/>
      <c r="X85" s="27"/>
      <c r="Y85" s="5"/>
      <c r="Z85" s="27"/>
      <c r="AA85" s="28"/>
      <c r="AB85" s="102">
        <v>1</v>
      </c>
      <c r="AC85" s="5"/>
      <c r="AD85" s="27"/>
      <c r="AE85" s="5"/>
      <c r="AF85" s="27"/>
      <c r="AG85" s="5"/>
      <c r="AH85" s="5"/>
      <c r="AI85" s="51" t="s">
        <v>203</v>
      </c>
      <c r="AJ85" s="5" t="str">
        <f>INDEX('Nike pace chart'!$BO$9:$BO$16,MATCH('Nike training program_21k'!AI85,'Nike pace chart'!$BY$9:$BY$16,0))</f>
        <v>04:13</v>
      </c>
      <c r="AK85" s="99">
        <v>0.1</v>
      </c>
      <c r="AL85" s="28" t="s">
        <v>230</v>
      </c>
      <c r="AM85" s="5"/>
      <c r="AN85" s="27"/>
      <c r="AO85" s="5"/>
      <c r="AP85" s="27"/>
      <c r="AQ85" s="28"/>
      <c r="AR85" s="5"/>
      <c r="AS85" s="27"/>
      <c r="AT85" s="5"/>
      <c r="AU85" s="99"/>
      <c r="AV85" s="28"/>
      <c r="AW85" s="5"/>
      <c r="AX85" s="27"/>
      <c r="AY85" s="5"/>
      <c r="AZ85" s="27"/>
      <c r="BA85" s="28"/>
    </row>
    <row r="86" spans="2:53" outlineLevel="1" x14ac:dyDescent="0.25">
      <c r="B86" s="79"/>
      <c r="C86" s="5"/>
      <c r="D86" s="27"/>
      <c r="E86" s="5"/>
      <c r="F86" s="27"/>
      <c r="G86" s="5"/>
      <c r="H86" s="5"/>
      <c r="I86" s="46" t="s">
        <v>201</v>
      </c>
      <c r="J86" s="5" t="str">
        <f>INDEX('Nike pace chart'!$BO$9:$BO$16,MATCH('Nike training program_21k'!I86,'Nike pace chart'!$BY$9:$BY$16,0))</f>
        <v>05:39</v>
      </c>
      <c r="K86" s="99">
        <f>INDEX('Nike pace chart'!$BV$9:$BV$16,MATCH(I86,'Nike pace chart'!$BY$9:$BY$16,0))/1000*((_xlfn.TEXTBEFORE(L86,":")+_xlfn.TEXTAFTER(L86,":")/60))</f>
        <v>0.18</v>
      </c>
      <c r="L86" s="28" t="s">
        <v>225</v>
      </c>
      <c r="M86" s="5"/>
      <c r="N86" s="27"/>
      <c r="O86" s="5"/>
      <c r="P86" s="27"/>
      <c r="Q86" s="28"/>
      <c r="R86" s="5"/>
      <c r="S86" s="27"/>
      <c r="T86" s="5"/>
      <c r="U86" s="27"/>
      <c r="V86" s="28"/>
      <c r="W86" s="5"/>
      <c r="X86" s="27"/>
      <c r="Y86" s="5"/>
      <c r="Z86" s="27"/>
      <c r="AA86" s="28"/>
      <c r="AB86" s="102">
        <v>1</v>
      </c>
      <c r="AC86" s="5"/>
      <c r="AD86" s="27"/>
      <c r="AE86" s="5"/>
      <c r="AF86" s="27"/>
      <c r="AG86" s="5"/>
      <c r="AH86" s="5"/>
      <c r="AI86" s="46" t="s">
        <v>201</v>
      </c>
      <c r="AJ86" s="5" t="str">
        <f>INDEX('Nike pace chart'!$BO$9:$BO$16,MATCH('Nike training program_21k'!AI86,'Nike pace chart'!$BY$9:$BY$16,0))</f>
        <v>05:39</v>
      </c>
      <c r="AK86" s="99">
        <v>0.2</v>
      </c>
      <c r="AL86" s="28" t="s">
        <v>225</v>
      </c>
      <c r="AM86" s="5"/>
      <c r="AN86" s="27"/>
      <c r="AO86" s="5"/>
      <c r="AP86" s="27"/>
      <c r="AQ86" s="28"/>
      <c r="AR86" s="5"/>
      <c r="AS86" s="27"/>
      <c r="AT86" s="5"/>
      <c r="AU86" s="99"/>
      <c r="AV86" s="28"/>
      <c r="AW86" s="5"/>
      <c r="AX86" s="27"/>
      <c r="AY86" s="5"/>
      <c r="AZ86" s="27"/>
      <c r="BA86" s="28"/>
    </row>
    <row r="87" spans="2:53" outlineLevel="1" x14ac:dyDescent="0.25">
      <c r="B87" s="79"/>
      <c r="C87" s="5"/>
      <c r="D87" s="27"/>
      <c r="E87" s="5"/>
      <c r="F87" s="27"/>
      <c r="G87" s="5"/>
      <c r="H87" s="5">
        <v>1</v>
      </c>
      <c r="I87" s="51" t="s">
        <v>203</v>
      </c>
      <c r="J87" s="5" t="str">
        <f>INDEX('Nike pace chart'!$BO$9:$BO$16,MATCH('Nike training program_21k'!I87,'Nike pace chart'!$BY$9:$BY$16,0))</f>
        <v>04:13</v>
      </c>
      <c r="K87" s="99">
        <f>INDEX('Nike pace chart'!$BV$9:$BV$16,MATCH(I87,'Nike pace chart'!$BY$9:$BY$16,0))/1000*((_xlfn.TEXTBEFORE(L87,":")+_xlfn.TEXTAFTER(L87,":")/60))</f>
        <v>0.12</v>
      </c>
      <c r="L87" s="28" t="s">
        <v>230</v>
      </c>
      <c r="M87" s="5"/>
      <c r="N87" s="27"/>
      <c r="O87" s="5"/>
      <c r="P87" s="27"/>
      <c r="Q87" s="28"/>
      <c r="R87" s="5"/>
      <c r="S87" s="27"/>
      <c r="T87" s="5"/>
      <c r="U87" s="27"/>
      <c r="V87" s="28"/>
      <c r="W87" s="5"/>
      <c r="X87" s="27"/>
      <c r="Y87" s="5"/>
      <c r="Z87" s="27"/>
      <c r="AA87" s="28"/>
      <c r="AB87" s="102">
        <v>1</v>
      </c>
      <c r="AC87" s="5"/>
      <c r="AD87" s="27"/>
      <c r="AE87" s="5"/>
      <c r="AF87" s="27"/>
      <c r="AG87" s="5"/>
      <c r="AH87" s="5"/>
      <c r="AI87" s="51" t="s">
        <v>203</v>
      </c>
      <c r="AJ87" s="5" t="str">
        <f>INDEX('Nike pace chart'!$BO$9:$BO$16,MATCH('Nike training program_21k'!AI87,'Nike pace chart'!$BY$9:$BY$16,0))</f>
        <v>04:13</v>
      </c>
      <c r="AK87" s="99">
        <v>0.1</v>
      </c>
      <c r="AL87" s="28" t="s">
        <v>230</v>
      </c>
      <c r="AM87" s="5"/>
      <c r="AN87" s="27"/>
      <c r="AO87" s="5"/>
      <c r="AP87" s="27"/>
      <c r="AQ87" s="28"/>
      <c r="AR87" s="5"/>
      <c r="AS87" s="27"/>
      <c r="AT87" s="5"/>
      <c r="AU87" s="99"/>
      <c r="AV87" s="28"/>
      <c r="AW87" s="5"/>
      <c r="AX87" s="27"/>
      <c r="AY87" s="5"/>
      <c r="AZ87" s="27"/>
      <c r="BA87" s="28"/>
    </row>
    <row r="88" spans="2:53" outlineLevel="1" x14ac:dyDescent="0.25">
      <c r="B88" s="79"/>
      <c r="C88" s="5"/>
      <c r="D88" s="27"/>
      <c r="E88" s="5"/>
      <c r="F88" s="27"/>
      <c r="G88" s="5"/>
      <c r="H88" s="5"/>
      <c r="I88" s="46" t="s">
        <v>201</v>
      </c>
      <c r="J88" s="5" t="str">
        <f>INDEX('Nike pace chart'!$BO$9:$BO$16,MATCH('Nike training program_21k'!I88,'Nike pace chart'!$BY$9:$BY$16,0))</f>
        <v>05:39</v>
      </c>
      <c r="K88" s="99">
        <f>INDEX('Nike pace chart'!$BV$9:$BV$16,MATCH(I88,'Nike pace chart'!$BY$9:$BY$16,0))/1000*((_xlfn.TEXTBEFORE(L88,":")+_xlfn.TEXTAFTER(L88,":")/60))</f>
        <v>0.18</v>
      </c>
      <c r="L88" s="28" t="s">
        <v>225</v>
      </c>
      <c r="M88" s="5"/>
      <c r="N88" s="27"/>
      <c r="O88" s="5"/>
      <c r="P88" s="27"/>
      <c r="Q88" s="28"/>
      <c r="R88" s="5"/>
      <c r="S88" s="27"/>
      <c r="T88" s="5"/>
      <c r="U88" s="27"/>
      <c r="V88" s="28"/>
      <c r="W88" s="5"/>
      <c r="X88" s="27"/>
      <c r="Y88" s="5"/>
      <c r="Z88" s="27"/>
      <c r="AA88" s="28"/>
      <c r="AB88" s="102">
        <v>1</v>
      </c>
      <c r="AC88" s="5"/>
      <c r="AD88" s="27"/>
      <c r="AE88" s="5"/>
      <c r="AF88" s="27"/>
      <c r="AG88" s="5"/>
      <c r="AH88" s="5"/>
      <c r="AI88" s="46" t="s">
        <v>201</v>
      </c>
      <c r="AJ88" s="5" t="str">
        <f>INDEX('Nike pace chart'!$BO$9:$BO$16,MATCH('Nike training program_21k'!AI88,'Nike pace chart'!$BY$9:$BY$16,0))</f>
        <v>05:39</v>
      </c>
      <c r="AK88" s="99">
        <v>0.2</v>
      </c>
      <c r="AL88" s="28" t="s">
        <v>225</v>
      </c>
      <c r="AM88" s="5"/>
      <c r="AN88" s="27"/>
      <c r="AO88" s="5"/>
      <c r="AP88" s="27"/>
      <c r="AQ88" s="28"/>
      <c r="AR88" s="5"/>
      <c r="AS88" s="27"/>
      <c r="AT88" s="5"/>
      <c r="AU88" s="99"/>
      <c r="AV88" s="28"/>
      <c r="AW88" s="5"/>
      <c r="AX88" s="27"/>
      <c r="AY88" s="5"/>
      <c r="AZ88" s="27"/>
      <c r="BA88" s="28"/>
    </row>
    <row r="89" spans="2:53" outlineLevel="1" x14ac:dyDescent="0.25">
      <c r="B89" s="79"/>
      <c r="C89" s="5"/>
      <c r="D89" s="27"/>
      <c r="E89" s="5"/>
      <c r="F89" s="27"/>
      <c r="G89" s="5"/>
      <c r="H89">
        <v>1</v>
      </c>
      <c r="I89" s="45" t="s">
        <v>241</v>
      </c>
      <c r="J89" s="5" t="str">
        <f>INDEX('Nike pace chart'!$BO$9:$BO$16,MATCH('Nike training program_21k'!I89,'Nike pace chart'!$BY$9:$BY$16,0))</f>
        <v>04:25</v>
      </c>
      <c r="K89" s="99">
        <f>INDEX('Nike pace chart'!$BV$9:$BV$16,MATCH(I89,'Nike pace chart'!$BY$9:$BY$16,0))/1000*((_xlfn.TEXTBEFORE(L89,":")+_xlfn.TEXTAFTER(L89,":")/60))</f>
        <v>0.23</v>
      </c>
      <c r="L89" s="28" t="s">
        <v>225</v>
      </c>
      <c r="M89" s="5"/>
      <c r="N89" s="27"/>
      <c r="O89" s="5"/>
      <c r="P89" s="27"/>
      <c r="Q89" s="28"/>
      <c r="R89" s="5"/>
      <c r="S89" s="27"/>
      <c r="T89" s="5"/>
      <c r="U89" s="27"/>
      <c r="V89" s="28"/>
      <c r="W89" s="5"/>
      <c r="X89" s="27"/>
      <c r="Y89" s="5"/>
      <c r="Z89" s="27"/>
      <c r="AA89" s="28"/>
      <c r="AB89" s="102">
        <v>1</v>
      </c>
      <c r="AC89" s="5"/>
      <c r="AD89" s="27"/>
      <c r="AE89" s="5"/>
      <c r="AF89" s="27"/>
      <c r="AG89" s="5"/>
      <c r="AI89" s="45" t="s">
        <v>241</v>
      </c>
      <c r="AJ89" s="5" t="str">
        <f>INDEX('Nike pace chart'!$BO$9:$BO$16,MATCH('Nike training program_21k'!AI89,'Nike pace chart'!$BY$9:$BY$16,0))</f>
        <v>04:25</v>
      </c>
      <c r="AK89" s="99">
        <v>0.2</v>
      </c>
      <c r="AL89" s="28" t="s">
        <v>225</v>
      </c>
      <c r="AM89" s="5"/>
      <c r="AN89" s="27"/>
      <c r="AO89" s="5"/>
      <c r="AP89" s="27"/>
      <c r="AQ89" s="28"/>
      <c r="AR89" s="5"/>
      <c r="AS89" s="27"/>
      <c r="AT89" s="5"/>
      <c r="AU89" s="99"/>
      <c r="AV89" s="28"/>
      <c r="AW89" s="5"/>
      <c r="AX89" s="27"/>
      <c r="AY89" s="5"/>
      <c r="AZ89" s="27"/>
      <c r="BA89" s="28"/>
    </row>
    <row r="90" spans="2:53" outlineLevel="1" x14ac:dyDescent="0.25">
      <c r="B90" s="79"/>
      <c r="C90" s="5"/>
      <c r="D90" s="27"/>
      <c r="E90" s="5"/>
      <c r="F90" s="27"/>
      <c r="G90" s="5"/>
      <c r="H90" s="5"/>
      <c r="I90" s="46" t="s">
        <v>201</v>
      </c>
      <c r="J90" s="5" t="str">
        <f>INDEX('Nike pace chart'!$BO$9:$BO$16,MATCH('Nike training program_21k'!I90,'Nike pace chart'!$BY$9:$BY$16,0))</f>
        <v>05:39</v>
      </c>
      <c r="K90" s="99">
        <f>INDEX('Nike pace chart'!$BV$9:$BV$16,MATCH(I90,'Nike pace chart'!$BY$9:$BY$16,0))/1000*((_xlfn.TEXTBEFORE(L90,":")+_xlfn.TEXTAFTER(L90,":")/60))</f>
        <v>0.18</v>
      </c>
      <c r="L90" s="28" t="s">
        <v>225</v>
      </c>
      <c r="M90" s="5"/>
      <c r="N90" s="27"/>
      <c r="O90" s="5"/>
      <c r="P90" s="27"/>
      <c r="Q90" s="28"/>
      <c r="R90" s="5"/>
      <c r="S90" s="27"/>
      <c r="T90" s="5"/>
      <c r="U90" s="27"/>
      <c r="V90" s="28"/>
      <c r="W90" s="5"/>
      <c r="X90" s="27"/>
      <c r="Y90" s="5"/>
      <c r="Z90" s="27"/>
      <c r="AA90" s="28"/>
      <c r="AB90" s="102">
        <v>1</v>
      </c>
      <c r="AC90" s="5"/>
      <c r="AD90" s="27"/>
      <c r="AE90" s="5"/>
      <c r="AF90" s="27"/>
      <c r="AG90" s="5"/>
      <c r="AH90" s="5"/>
      <c r="AI90" s="46" t="s">
        <v>201</v>
      </c>
      <c r="AJ90" s="5" t="str">
        <f>INDEX('Nike pace chart'!$BO$9:$BO$16,MATCH('Nike training program_21k'!AI90,'Nike pace chart'!$BY$9:$BY$16,0))</f>
        <v>05:39</v>
      </c>
      <c r="AK90" s="99">
        <v>0.2</v>
      </c>
      <c r="AL90" s="28" t="s">
        <v>225</v>
      </c>
      <c r="AM90" s="5"/>
      <c r="AN90" s="27"/>
      <c r="AO90" s="5"/>
      <c r="AP90" s="27"/>
      <c r="AQ90" s="28"/>
      <c r="AR90" s="5"/>
      <c r="AS90" s="27"/>
      <c r="AT90" s="5"/>
      <c r="AU90" s="99"/>
      <c r="AV90" s="28"/>
      <c r="AW90" s="5"/>
      <c r="AX90" s="27"/>
      <c r="AY90" s="5"/>
      <c r="AZ90" s="27"/>
      <c r="BA90" s="28"/>
    </row>
    <row r="91" spans="2:53" outlineLevel="1" x14ac:dyDescent="0.25">
      <c r="B91" s="79"/>
      <c r="C91" s="5"/>
      <c r="D91" s="27"/>
      <c r="E91" s="5"/>
      <c r="F91" s="27"/>
      <c r="G91" s="5"/>
      <c r="H91" s="5">
        <v>1</v>
      </c>
      <c r="I91" s="49" t="s">
        <v>195</v>
      </c>
      <c r="J91" s="5" t="str">
        <f>INDEX('Nike pace chart'!$BO$9:$BO$16,MATCH('Nike training program_21k'!I91,'Nike pace chart'!$BY$9:$BY$16,0))</f>
        <v>04:37</v>
      </c>
      <c r="K91" s="99">
        <f>INDEX('Nike pace chart'!$BV$9:$BV$16,MATCH(I91,'Nike pace chart'!$BY$9:$BY$16,0))/1000*((_xlfn.TEXTBEFORE(L91,":")+_xlfn.TEXTAFTER(L91,":")/60))</f>
        <v>0.55000000000000004</v>
      </c>
      <c r="L91" s="28" t="s">
        <v>240</v>
      </c>
      <c r="M91" s="5"/>
      <c r="N91" s="27"/>
      <c r="O91" s="5"/>
      <c r="P91" s="27"/>
      <c r="Q91" s="28"/>
      <c r="R91" s="5"/>
      <c r="S91" s="27"/>
      <c r="T91" s="5"/>
      <c r="U91" s="27"/>
      <c r="V91" s="28"/>
      <c r="W91" s="5"/>
      <c r="X91" s="27"/>
      <c r="Y91" s="5"/>
      <c r="Z91" s="27"/>
      <c r="AA91" s="28"/>
      <c r="AB91" s="102">
        <v>1</v>
      </c>
      <c r="AC91" s="5"/>
      <c r="AD91" s="27"/>
      <c r="AE91" s="5"/>
      <c r="AF91" s="27"/>
      <c r="AG91" s="5"/>
      <c r="AH91" s="5"/>
      <c r="AI91" s="49" t="s">
        <v>195</v>
      </c>
      <c r="AJ91" s="5" t="str">
        <f>INDEX('Nike pace chart'!$BO$9:$BO$16,MATCH('Nike training program_21k'!AI91,'Nike pace chart'!$BY$9:$BY$16,0))</f>
        <v>04:37</v>
      </c>
      <c r="AK91" s="99">
        <v>0.5</v>
      </c>
      <c r="AL91" s="28" t="s">
        <v>240</v>
      </c>
      <c r="AM91" s="5"/>
      <c r="AN91" s="27"/>
      <c r="AO91" s="5"/>
      <c r="AP91" s="27"/>
      <c r="AQ91" s="28"/>
      <c r="AR91" s="5"/>
      <c r="AS91" s="27"/>
      <c r="AT91" s="5"/>
      <c r="AU91" s="99"/>
      <c r="AV91" s="28"/>
      <c r="AW91" s="5"/>
      <c r="AX91" s="27"/>
      <c r="AY91" s="5"/>
      <c r="AZ91" s="27"/>
      <c r="BA91" s="28"/>
    </row>
    <row r="92" spans="2:53" outlineLevel="1" x14ac:dyDescent="0.25">
      <c r="B92" s="79"/>
      <c r="C92" s="5"/>
      <c r="D92" s="27"/>
      <c r="E92" s="5"/>
      <c r="F92" s="27"/>
      <c r="G92" s="5"/>
      <c r="H92" s="5"/>
      <c r="I92" s="46" t="s">
        <v>201</v>
      </c>
      <c r="J92" s="5" t="str">
        <f>INDEX('Nike pace chart'!$BO$9:$BO$16,MATCH('Nike training program_21k'!I92,'Nike pace chart'!$BY$9:$BY$16,0))</f>
        <v>05:39</v>
      </c>
      <c r="K92" s="99">
        <f>INDEX('Nike pace chart'!$BV$9:$BV$16,MATCH(I92,'Nike pace chart'!$BY$9:$BY$16,0))/1000*((_xlfn.TEXTBEFORE(L92,":")+_xlfn.TEXTAFTER(L92,":")/60))</f>
        <v>0.27</v>
      </c>
      <c r="L92" s="28" t="s">
        <v>236</v>
      </c>
      <c r="M92" s="5"/>
      <c r="N92" s="27"/>
      <c r="O92" s="5"/>
      <c r="P92" s="27"/>
      <c r="Q92" s="28"/>
      <c r="R92" s="5"/>
      <c r="S92" s="27"/>
      <c r="T92" s="5"/>
      <c r="U92" s="27"/>
      <c r="V92" s="28"/>
      <c r="W92" s="5"/>
      <c r="X92" s="27"/>
      <c r="Y92" s="5"/>
      <c r="Z92" s="27"/>
      <c r="AA92" s="28"/>
      <c r="AB92" s="102">
        <v>1</v>
      </c>
      <c r="AC92" s="5"/>
      <c r="AD92" s="27"/>
      <c r="AE92" s="5"/>
      <c r="AF92" s="27"/>
      <c r="AG92" s="5"/>
      <c r="AH92" s="5"/>
      <c r="AI92" s="46" t="s">
        <v>201</v>
      </c>
      <c r="AJ92" s="5" t="str">
        <f>INDEX('Nike pace chart'!$BO$9:$BO$16,MATCH('Nike training program_21k'!AI92,'Nike pace chart'!$BY$9:$BY$16,0))</f>
        <v>05:39</v>
      </c>
      <c r="AK92" s="99">
        <v>0.3</v>
      </c>
      <c r="AL92" s="28" t="s">
        <v>236</v>
      </c>
      <c r="AM92" s="5"/>
      <c r="AN92" s="27"/>
      <c r="AO92" s="5"/>
      <c r="AP92" s="27"/>
      <c r="AQ92" s="28"/>
      <c r="AR92" s="5"/>
      <c r="AS92" s="27"/>
      <c r="AT92" s="5"/>
      <c r="AU92" s="99"/>
      <c r="AV92" s="28"/>
      <c r="AW92" s="5"/>
      <c r="AX92" s="27"/>
      <c r="AY92" s="5"/>
      <c r="AZ92" s="27"/>
      <c r="BA92" s="28"/>
    </row>
    <row r="93" spans="2:53" outlineLevel="1" x14ac:dyDescent="0.25">
      <c r="B93" s="79"/>
      <c r="C93" s="5"/>
      <c r="D93" s="27"/>
      <c r="E93" s="5"/>
      <c r="F93" s="27"/>
      <c r="G93" s="5"/>
      <c r="H93" s="5">
        <v>1</v>
      </c>
      <c r="I93" s="48" t="s">
        <v>198</v>
      </c>
      <c r="J93" s="5" t="str">
        <f>INDEX('Nike pace chart'!$BO$9:$BO$16,MATCH('Nike training program_21k'!I93,'Nike pace chart'!$BY$9:$BY$16,0))</f>
        <v>04:46</v>
      </c>
      <c r="K93" s="99">
        <f>INDEX('Nike pace chart'!$BV$9:$BV$16,MATCH(I93,'Nike pace chart'!$BY$9:$BY$16,0))/1000*((_xlfn.TEXTBEFORE(L93,":")+_xlfn.TEXTAFTER(L93,":")/60))</f>
        <v>1.05</v>
      </c>
      <c r="L93" s="28" t="s">
        <v>227</v>
      </c>
      <c r="M93" s="5"/>
      <c r="N93" s="27"/>
      <c r="O93" s="5"/>
      <c r="P93" s="27"/>
      <c r="Q93" s="28"/>
      <c r="R93" s="5"/>
      <c r="S93" s="27"/>
      <c r="T93" s="5"/>
      <c r="U93" s="27"/>
      <c r="V93" s="28"/>
      <c r="W93" s="5"/>
      <c r="X93" s="27"/>
      <c r="Y93" s="5"/>
      <c r="Z93" s="27"/>
      <c r="AA93" s="28"/>
      <c r="AB93" s="102">
        <v>1</v>
      </c>
      <c r="AC93" s="5"/>
      <c r="AD93" s="27"/>
      <c r="AE93" s="5"/>
      <c r="AF93" s="27"/>
      <c r="AG93" s="5"/>
      <c r="AH93" s="5"/>
      <c r="AI93" s="48" t="s">
        <v>198</v>
      </c>
      <c r="AJ93" s="5" t="str">
        <f>INDEX('Nike pace chart'!$BO$9:$BO$16,MATCH('Nike training program_21k'!AI93,'Nike pace chart'!$BY$9:$BY$16,0))</f>
        <v>04:46</v>
      </c>
      <c r="AK93" s="99">
        <v>1</v>
      </c>
      <c r="AL93" s="28" t="s">
        <v>227</v>
      </c>
      <c r="AM93" s="5"/>
      <c r="AN93" s="27"/>
      <c r="AO93" s="5"/>
      <c r="AP93" s="27"/>
      <c r="AQ93" s="28"/>
      <c r="AR93" s="5"/>
      <c r="AS93" s="27"/>
      <c r="AT93" s="5"/>
      <c r="AU93" s="99"/>
      <c r="AV93" s="28"/>
      <c r="AW93" s="5"/>
      <c r="AX93" s="27"/>
      <c r="AY93" s="5"/>
      <c r="AZ93" s="27"/>
      <c r="BA93" s="28"/>
    </row>
    <row r="94" spans="2:53" outlineLevel="1" x14ac:dyDescent="0.25">
      <c r="B94" s="79"/>
      <c r="C94" s="5"/>
      <c r="D94" s="27"/>
      <c r="E94" s="5"/>
      <c r="F94" s="27"/>
      <c r="G94" s="5"/>
      <c r="H94" s="5"/>
      <c r="I94" s="46" t="s">
        <v>201</v>
      </c>
      <c r="J94" s="5" t="str">
        <f>INDEX('Nike pace chart'!$BO$9:$BO$16,MATCH('Nike training program_21k'!I94,'Nike pace chart'!$BY$9:$BY$16,0))</f>
        <v>05:39</v>
      </c>
      <c r="K94" s="99">
        <f>INDEX('Nike pace chart'!$BV$9:$BV$16,MATCH(I94,'Nike pace chart'!$BY$9:$BY$16,0))/1000*((_xlfn.TEXTBEFORE(L94,":")+_xlfn.TEXTAFTER(L94,":")/60))</f>
        <v>0.27</v>
      </c>
      <c r="L94" s="28" t="s">
        <v>236</v>
      </c>
      <c r="M94" s="5"/>
      <c r="N94" s="27"/>
      <c r="O94" s="5"/>
      <c r="P94" s="27"/>
      <c r="Q94" s="28"/>
      <c r="R94" s="5"/>
      <c r="S94" s="27"/>
      <c r="T94" s="5"/>
      <c r="U94" s="27"/>
      <c r="V94" s="28"/>
      <c r="W94" s="5"/>
      <c r="X94" s="27"/>
      <c r="Y94" s="5"/>
      <c r="Z94" s="27"/>
      <c r="AA94" s="28"/>
      <c r="AB94" s="102">
        <v>1</v>
      </c>
      <c r="AC94" s="5"/>
      <c r="AD94" s="27"/>
      <c r="AE94" s="5"/>
      <c r="AF94" s="27"/>
      <c r="AG94" s="5"/>
      <c r="AH94" s="5"/>
      <c r="AI94" s="46" t="s">
        <v>201</v>
      </c>
      <c r="AJ94" s="5" t="str">
        <f>INDEX('Nike pace chart'!$BO$9:$BO$16,MATCH('Nike training program_21k'!AI94,'Nike pace chart'!$BY$9:$BY$16,0))</f>
        <v>05:39</v>
      </c>
      <c r="AK94" s="99">
        <v>0.3</v>
      </c>
      <c r="AL94" s="28" t="s">
        <v>236</v>
      </c>
      <c r="AM94" s="5"/>
      <c r="AN94" s="27"/>
      <c r="AO94" s="5"/>
      <c r="AP94" s="27"/>
      <c r="AQ94" s="28"/>
      <c r="AR94" s="5"/>
      <c r="AS94" s="27"/>
      <c r="AT94" s="5"/>
      <c r="AU94" s="99"/>
      <c r="AV94" s="28"/>
      <c r="AW94" s="5"/>
      <c r="AX94" s="27"/>
      <c r="AY94" s="5"/>
      <c r="AZ94" s="27"/>
      <c r="BA94" s="28"/>
    </row>
    <row r="95" spans="2:53" x14ac:dyDescent="0.25">
      <c r="B95" s="4" t="s">
        <v>242</v>
      </c>
      <c r="C95" s="5">
        <v>1</v>
      </c>
      <c r="D95" s="46" t="s">
        <v>201</v>
      </c>
      <c r="E95" s="5" t="str">
        <f>INDEX('Nike pace chart'!$BO$9:$BO$16,MATCH('Nike training program_21k'!D95,'Nike pace chart'!$BY$9:$BY$16,0))</f>
        <v>05:39</v>
      </c>
      <c r="F95" s="99">
        <f>INDEX('Nike pace chart'!$BV$9:$BV$16,MATCH(D95,'Nike pace chart'!$BY$9:$BY$16,0))/1000*((_xlfn.TEXTBEFORE(G95,":")+_xlfn.TEXTAFTER(G95,":")/60))</f>
        <v>2.6999999999999997</v>
      </c>
      <c r="G95" s="28" t="s">
        <v>233</v>
      </c>
      <c r="H95" s="5">
        <v>1</v>
      </c>
      <c r="I95" s="27" t="s">
        <v>255</v>
      </c>
      <c r="J95" s="5" t="s">
        <v>223</v>
      </c>
      <c r="K95" s="99"/>
      <c r="L95" s="28" t="s">
        <v>227</v>
      </c>
      <c r="M95" s="5">
        <v>1</v>
      </c>
      <c r="N95" s="46" t="s">
        <v>201</v>
      </c>
      <c r="O95" s="5" t="str">
        <f>INDEX('Nike pace chart'!$BO$9:$BO$16,MATCH('Nike training program_21k'!N95,'Nike pace chart'!$BY$9:$BY$16,0))</f>
        <v>05:39</v>
      </c>
      <c r="P95" s="99">
        <f>INDEX('Nike pace chart'!$BV$9:$BV$16,MATCH(N95,'Nike pace chart'!$BY$9:$BY$16,0))/1000*((_xlfn.TEXTBEFORE(Q95,":")+_xlfn.TEXTAFTER(Q95,":")/60))</f>
        <v>8.1</v>
      </c>
      <c r="Q95" s="28" t="s">
        <v>252</v>
      </c>
      <c r="R95" s="5">
        <v>1</v>
      </c>
      <c r="S95" s="27" t="s">
        <v>255</v>
      </c>
      <c r="T95" s="5" t="s">
        <v>223</v>
      </c>
      <c r="U95" s="27" t="s">
        <v>223</v>
      </c>
      <c r="V95" s="28" t="s">
        <v>244</v>
      </c>
      <c r="W95" s="5">
        <v>1</v>
      </c>
      <c r="X95" s="45" t="s">
        <v>241</v>
      </c>
      <c r="Y95" s="5" t="str">
        <f>INDEX('Nike pace chart'!$BO$9:$BO$16,MATCH('Nike training program_21k'!X95,'Nike pace chart'!$BY$9:$BY$16,0))</f>
        <v>04:25</v>
      </c>
      <c r="Z95" s="27">
        <v>13.1</v>
      </c>
      <c r="AA95" s="28" t="s">
        <v>223</v>
      </c>
      <c r="AB95" s="102">
        <v>1</v>
      </c>
      <c r="AC95" s="5">
        <v>1</v>
      </c>
      <c r="AD95" s="46" t="s">
        <v>201</v>
      </c>
      <c r="AE95" s="5" t="str">
        <f>INDEX('Nike pace chart'!$BO$9:$BO$16,MATCH('Nike training program_21k'!AD95,'Nike pace chart'!$BY$9:$BY$16,0))</f>
        <v>05:39</v>
      </c>
      <c r="AF95" s="27">
        <v>2.6</v>
      </c>
      <c r="AG95" s="28" t="s">
        <v>233</v>
      </c>
      <c r="AH95" s="5">
        <v>1</v>
      </c>
      <c r="AI95" s="27" t="s">
        <v>255</v>
      </c>
      <c r="AJ95" s="5" t="s">
        <v>223</v>
      </c>
      <c r="AK95" s="99"/>
      <c r="AL95" s="28" t="s">
        <v>227</v>
      </c>
      <c r="AM95" s="5">
        <v>1</v>
      </c>
      <c r="AN95" s="46" t="s">
        <v>201</v>
      </c>
      <c r="AO95" s="5" t="str">
        <f>INDEX('Nike pace chart'!$BO$9:$BO$16,MATCH('Nike training program_21k'!AN95,'Nike pace chart'!$BY$9:$BY$16,0))</f>
        <v>05:39</v>
      </c>
      <c r="AP95" s="27">
        <v>7.2</v>
      </c>
      <c r="AQ95" s="28" t="s">
        <v>252</v>
      </c>
      <c r="AR95" s="5">
        <v>1</v>
      </c>
      <c r="AS95" s="27" t="s">
        <v>255</v>
      </c>
      <c r="AT95" s="5" t="s">
        <v>223</v>
      </c>
      <c r="AU95" s="99" t="s">
        <v>223</v>
      </c>
      <c r="AV95" s="28" t="s">
        <v>244</v>
      </c>
      <c r="AW95" s="5">
        <v>1</v>
      </c>
      <c r="AX95" s="45" t="s">
        <v>241</v>
      </c>
      <c r="AY95" s="5"/>
      <c r="AZ95" s="27">
        <v>13.1</v>
      </c>
      <c r="BA95" s="28" t="s">
        <v>223</v>
      </c>
    </row>
    <row r="96" spans="2:53" x14ac:dyDescent="0.25">
      <c r="B96" s="79"/>
      <c r="C96" s="5"/>
      <c r="D96" s="27"/>
      <c r="E96" s="5"/>
      <c r="F96" s="27"/>
      <c r="G96" s="5"/>
      <c r="H96" s="5">
        <v>3</v>
      </c>
      <c r="I96" s="49" t="s">
        <v>195</v>
      </c>
      <c r="J96" s="5" t="str">
        <f>INDEX('Nike pace chart'!$BO$9:$BO$16,MATCH('Nike training program_21k'!I96,'Nike pace chart'!$BY$9:$BY$16,0))</f>
        <v>04:37</v>
      </c>
      <c r="K96" s="99">
        <f>INDEX('Nike pace chart'!$BV$9:$BV$16,MATCH(I96,'Nike pace chart'!$BY$9:$BY$16,0))/1000*((_xlfn.TEXTBEFORE(L96,":")+_xlfn.TEXTAFTER(L96,":")/60))</f>
        <v>0.33</v>
      </c>
      <c r="L96" s="28" t="s">
        <v>236</v>
      </c>
      <c r="M96" s="5"/>
      <c r="N96" s="27"/>
      <c r="O96" s="5"/>
      <c r="P96" s="27"/>
      <c r="Q96" s="28"/>
      <c r="R96" s="5">
        <v>3</v>
      </c>
      <c r="S96" s="49" t="s">
        <v>195</v>
      </c>
      <c r="T96" s="5" t="str">
        <f>INDEX('Nike pace chart'!$BO$9:$BO$16,MATCH('Nike training program_21k'!S96,'Nike pace chart'!$BY$9:$BY$16,0))</f>
        <v>04:37</v>
      </c>
      <c r="U96" s="99">
        <f>INDEX('Nike pace chart'!$BV$9:$BV$16,MATCH(S96,'Nike pace chart'!$BY$9:$BY$16,0))/1000*((_xlfn.TEXTBEFORE(V96,":")+_xlfn.TEXTAFTER(V96,":")/60))</f>
        <v>0.44</v>
      </c>
      <c r="V96" s="28" t="s">
        <v>228</v>
      </c>
      <c r="W96" s="5"/>
      <c r="X96" s="27"/>
      <c r="Y96" s="5"/>
      <c r="Z96" s="27"/>
      <c r="AA96" s="28"/>
      <c r="AB96" s="102">
        <v>1</v>
      </c>
      <c r="AC96" s="5"/>
      <c r="AD96" s="27"/>
      <c r="AE96" s="5"/>
      <c r="AF96" s="27"/>
      <c r="AG96" s="5"/>
      <c r="AH96" s="5">
        <v>3</v>
      </c>
      <c r="AI96" s="49" t="s">
        <v>195</v>
      </c>
      <c r="AJ96" s="5" t="str">
        <f>INDEX('Nike pace chart'!$BO$9:$BO$16,MATCH('Nike training program_21k'!AI96,'Nike pace chart'!$BY$9:$BY$16,0))</f>
        <v>04:37</v>
      </c>
      <c r="AK96" s="99">
        <v>0.35</v>
      </c>
      <c r="AL96" s="28" t="s">
        <v>236</v>
      </c>
      <c r="AM96" s="5"/>
      <c r="AN96" s="27"/>
      <c r="AO96" s="5"/>
      <c r="AP96" s="27"/>
      <c r="AQ96" s="28"/>
      <c r="AR96" s="5">
        <v>3</v>
      </c>
      <c r="AS96" s="49" t="s">
        <v>195</v>
      </c>
      <c r="AT96" s="5" t="str">
        <f>INDEX('Nike pace chart'!$BO$9:$BO$16,MATCH('Nike training program_21k'!AS96,'Nike pace chart'!$BY$9:$BY$16,0))</f>
        <v>04:37</v>
      </c>
      <c r="AU96" s="99">
        <v>0.45</v>
      </c>
      <c r="AV96" s="28" t="s">
        <v>228</v>
      </c>
      <c r="AW96" s="5"/>
      <c r="AX96" s="27"/>
      <c r="AY96" s="5"/>
      <c r="AZ96" s="27"/>
      <c r="BA96" s="28"/>
    </row>
    <row r="97" spans="2:53" x14ac:dyDescent="0.25">
      <c r="B97" s="79"/>
      <c r="C97" s="5"/>
      <c r="D97" s="27"/>
      <c r="E97" s="5"/>
      <c r="F97" s="27"/>
      <c r="G97" s="5"/>
      <c r="H97" s="5"/>
      <c r="I97" s="46" t="s">
        <v>201</v>
      </c>
      <c r="J97" s="5" t="str">
        <f>INDEX('Nike pace chart'!$BO$9:$BO$16,MATCH('Nike training program_21k'!I97,'Nike pace chart'!$BY$9:$BY$16,0))</f>
        <v>05:39</v>
      </c>
      <c r="K97" s="99">
        <f>INDEX('Nike pace chart'!$BV$9:$BV$16,MATCH(I97,'Nike pace chart'!$BY$9:$BY$16,0))/1000*((_xlfn.TEXTBEFORE(L97,":")+_xlfn.TEXTAFTER(L97,":")/60))</f>
        <v>0.27</v>
      </c>
      <c r="L97" s="28" t="s">
        <v>236</v>
      </c>
      <c r="M97" s="5"/>
      <c r="N97" s="27"/>
      <c r="O97" s="5"/>
      <c r="P97" s="27"/>
      <c r="Q97" s="28"/>
      <c r="R97" s="5"/>
      <c r="S97" s="46" t="s">
        <v>201</v>
      </c>
      <c r="T97" s="5" t="str">
        <f>INDEX('Nike pace chart'!$BO$9:$BO$16,MATCH('Nike training program_21k'!S97,'Nike pace chart'!$BY$9:$BY$16,0))</f>
        <v>05:39</v>
      </c>
      <c r="U97" s="99">
        <f>INDEX('Nike pace chart'!$BV$9:$BV$16,MATCH(S97,'Nike pace chart'!$BY$9:$BY$16,0))/1000*((_xlfn.TEXTBEFORE(V97,":")+_xlfn.TEXTAFTER(V97,":")/60))</f>
        <v>0.18</v>
      </c>
      <c r="V97" s="28" t="s">
        <v>225</v>
      </c>
      <c r="W97" s="5"/>
      <c r="X97" s="27"/>
      <c r="Y97" s="5"/>
      <c r="Z97" s="27"/>
      <c r="AA97" s="28"/>
      <c r="AB97" s="102">
        <v>1</v>
      </c>
      <c r="AC97" s="5"/>
      <c r="AD97" s="27"/>
      <c r="AE97" s="5"/>
      <c r="AF97" s="27"/>
      <c r="AG97" s="5"/>
      <c r="AH97" s="5"/>
      <c r="AI97" s="46" t="s">
        <v>201</v>
      </c>
      <c r="AJ97" s="5" t="str">
        <f>INDEX('Nike pace chart'!$BO$9:$BO$16,MATCH('Nike training program_21k'!AI97,'Nike pace chart'!$BY$9:$BY$16,0))</f>
        <v>05:39</v>
      </c>
      <c r="AK97" s="99">
        <v>0.25</v>
      </c>
      <c r="AL97" s="28" t="s">
        <v>236</v>
      </c>
      <c r="AM97" s="5"/>
      <c r="AN97" s="27"/>
      <c r="AO97" s="5"/>
      <c r="AP97" s="27"/>
      <c r="AQ97" s="28"/>
      <c r="AR97" s="5"/>
      <c r="AS97" s="46" t="s">
        <v>201</v>
      </c>
      <c r="AT97" s="5" t="str">
        <f>INDEX('Nike pace chart'!$BO$9:$BO$16,MATCH('Nike training program_21k'!AS97,'Nike pace chart'!$BY$9:$BY$16,0))</f>
        <v>05:39</v>
      </c>
      <c r="AU97" s="99">
        <v>0.15</v>
      </c>
      <c r="AV97" s="28" t="s">
        <v>225</v>
      </c>
      <c r="AW97" s="5"/>
      <c r="AX97" s="27"/>
      <c r="AY97" s="5"/>
      <c r="AZ97" s="27"/>
      <c r="BA97" s="28"/>
    </row>
    <row r="98" spans="2:53" x14ac:dyDescent="0.25">
      <c r="B98" s="79"/>
      <c r="C98" s="5"/>
      <c r="D98" s="27"/>
      <c r="E98" s="5"/>
      <c r="F98" s="27"/>
      <c r="G98" s="5"/>
      <c r="H98" s="5"/>
      <c r="I98" s="48" t="s">
        <v>198</v>
      </c>
      <c r="J98" s="5" t="str">
        <f>INDEX('Nike pace chart'!$BO$9:$BO$16,MATCH('Nike training program_21k'!I98,'Nike pace chart'!$BY$9:$BY$16,0))</f>
        <v>04:46</v>
      </c>
      <c r="K98" s="99">
        <f>INDEX('Nike pace chart'!$BV$9:$BV$16,MATCH(I98,'Nike pace chart'!$BY$9:$BY$16,0))/1000*((_xlfn.TEXTBEFORE(L98,":")+_xlfn.TEXTAFTER(L98,":")/60))</f>
        <v>0.315</v>
      </c>
      <c r="L98" s="28" t="s">
        <v>236</v>
      </c>
      <c r="M98" s="5"/>
      <c r="N98" s="27"/>
      <c r="O98" s="5"/>
      <c r="P98" s="27"/>
      <c r="Q98" s="28"/>
      <c r="R98" s="5">
        <v>1</v>
      </c>
      <c r="S98" s="52" t="s">
        <v>202</v>
      </c>
      <c r="T98" s="5" t="str">
        <f>INDEX('Nike pace chart'!$BO$9:$BO$16,MATCH('Nike training program_21k'!S98,'Nike pace chart'!$BY$9:$BY$16,0))</f>
        <v>04:59</v>
      </c>
      <c r="U98" s="99">
        <f>INDEX('Nike pace chart'!$BV$9:$BV$16,MATCH(S98,'Nike pace chart'!$BY$9:$BY$16,0))/1000*((_xlfn.TEXTBEFORE(V98,":")+_xlfn.TEXTAFTER(V98,":")/60))</f>
        <v>2</v>
      </c>
      <c r="V98" s="28" t="s">
        <v>71</v>
      </c>
      <c r="W98" s="5"/>
      <c r="X98" s="27"/>
      <c r="Y98" s="5"/>
      <c r="Z98" s="27"/>
      <c r="AA98" s="28"/>
      <c r="AB98" s="102">
        <v>1</v>
      </c>
      <c r="AC98" s="5"/>
      <c r="AD98" s="27"/>
      <c r="AE98" s="5"/>
      <c r="AF98" s="27"/>
      <c r="AG98" s="5"/>
      <c r="AH98" s="5"/>
      <c r="AI98" s="48" t="s">
        <v>198</v>
      </c>
      <c r="AJ98" s="5" t="str">
        <f>INDEX('Nike pace chart'!$BO$9:$BO$16,MATCH('Nike training program_21k'!AI98,'Nike pace chart'!$BY$9:$BY$16,0))</f>
        <v>04:46</v>
      </c>
      <c r="AK98" s="99">
        <v>0.3</v>
      </c>
      <c r="AL98" s="28" t="s">
        <v>236</v>
      </c>
      <c r="AM98" s="5"/>
      <c r="AN98" s="27"/>
      <c r="AO98" s="5"/>
      <c r="AP98" s="27"/>
      <c r="AQ98" s="28"/>
      <c r="AR98" s="5">
        <v>1</v>
      </c>
      <c r="AS98" s="52" t="s">
        <v>202</v>
      </c>
      <c r="AT98" s="5" t="str">
        <f>INDEX('Nike pace chart'!$BO$9:$BO$16,MATCH('Nike training program_21k'!AS98,'Nike pace chart'!$BY$9:$BY$16,0))</f>
        <v>04:59</v>
      </c>
      <c r="AU98" s="99">
        <v>2</v>
      </c>
      <c r="AV98" s="28" t="s">
        <v>71</v>
      </c>
      <c r="AW98" s="5"/>
      <c r="AX98" s="27"/>
      <c r="AY98" s="5"/>
      <c r="AZ98" s="27"/>
      <c r="BA98" s="28"/>
    </row>
    <row r="99" spans="2:53" x14ac:dyDescent="0.25">
      <c r="B99" s="79"/>
      <c r="C99" s="5"/>
      <c r="D99" s="27"/>
      <c r="E99" s="5"/>
      <c r="F99" s="27"/>
      <c r="G99" s="5"/>
      <c r="H99" s="5"/>
      <c r="I99" s="46" t="s">
        <v>201</v>
      </c>
      <c r="J99" s="5" t="str">
        <f>INDEX('Nike pace chart'!$BO$9:$BO$16,MATCH('Nike training program_21k'!I99,'Nike pace chart'!$BY$9:$BY$16,0))</f>
        <v>05:39</v>
      </c>
      <c r="K99" s="99">
        <f>INDEX('Nike pace chart'!$BV$9:$BV$16,MATCH(I99,'Nike pace chart'!$BY$9:$BY$16,0))/1000*((_xlfn.TEXTBEFORE(L99,":")+_xlfn.TEXTAFTER(L99,":")/60))</f>
        <v>0.27</v>
      </c>
      <c r="L99" s="28" t="s">
        <v>236</v>
      </c>
      <c r="M99" s="5"/>
      <c r="N99" s="27"/>
      <c r="O99" s="5"/>
      <c r="P99" s="27"/>
      <c r="Q99" s="28"/>
      <c r="R99" s="5"/>
      <c r="S99" s="46" t="s">
        <v>201</v>
      </c>
      <c r="T99" s="5" t="str">
        <f>INDEX('Nike pace chart'!$BO$9:$BO$16,MATCH('Nike training program_21k'!S99,'Nike pace chart'!$BY$9:$BY$16,0))</f>
        <v>05:39</v>
      </c>
      <c r="U99" s="99">
        <f>INDEX('Nike pace chart'!$BV$9:$BV$16,MATCH(S99,'Nike pace chart'!$BY$9:$BY$16,0))/1000*((_xlfn.TEXTBEFORE(V99,":")+_xlfn.TEXTAFTER(V99,":")/60))</f>
        <v>0.36</v>
      </c>
      <c r="V99" s="28" t="s">
        <v>228</v>
      </c>
      <c r="W99" s="5"/>
      <c r="X99" s="27"/>
      <c r="Y99" s="5"/>
      <c r="Z99" s="27"/>
      <c r="AA99" s="28"/>
      <c r="AB99" s="102">
        <v>1</v>
      </c>
      <c r="AC99" s="5"/>
      <c r="AD99" s="27"/>
      <c r="AE99" s="5"/>
      <c r="AF99" s="27"/>
      <c r="AG99" s="5"/>
      <c r="AH99" s="5"/>
      <c r="AI99" s="46" t="s">
        <v>201</v>
      </c>
      <c r="AJ99" s="5" t="str">
        <f>INDEX('Nike pace chart'!$BO$9:$BO$16,MATCH('Nike training program_21k'!AI99,'Nike pace chart'!$BY$9:$BY$16,0))</f>
        <v>05:39</v>
      </c>
      <c r="AK99" s="99">
        <v>0.2</v>
      </c>
      <c r="AL99" s="28" t="s">
        <v>236</v>
      </c>
      <c r="AM99" s="5"/>
      <c r="AN99" s="27"/>
      <c r="AO99" s="5"/>
      <c r="AP99" s="27"/>
      <c r="AQ99" s="28"/>
      <c r="AR99" s="5"/>
      <c r="AS99" s="46" t="s">
        <v>201</v>
      </c>
      <c r="AT99" s="5" t="str">
        <f>INDEX('Nike pace chart'!$BO$9:$BO$16,MATCH('Nike training program_21k'!AS99,'Nike pace chart'!$BY$9:$BY$16,0))</f>
        <v>05:39</v>
      </c>
      <c r="AU99" s="99">
        <v>0.3</v>
      </c>
      <c r="AV99" s="28" t="s">
        <v>228</v>
      </c>
      <c r="AW99" s="5"/>
      <c r="AX99" s="27"/>
      <c r="AY99" s="5"/>
      <c r="AZ99" s="27"/>
      <c r="BA99" s="28"/>
    </row>
    <row r="100" spans="2:53" x14ac:dyDescent="0.25">
      <c r="B100" s="79"/>
      <c r="C100" s="5"/>
      <c r="D100" s="27"/>
      <c r="E100" s="5"/>
      <c r="F100" s="27"/>
      <c r="G100" s="5"/>
      <c r="H100" s="5"/>
      <c r="I100" s="45" t="s">
        <v>241</v>
      </c>
      <c r="J100" s="5" t="str">
        <f>INDEX('Nike pace chart'!$BO$9:$BO$16,MATCH('Nike training program_21k'!I100,'Nike pace chart'!$BY$9:$BY$16,0))</f>
        <v>04:25</v>
      </c>
      <c r="K100" s="99">
        <f>INDEX('Nike pace chart'!$BV$9:$BV$16,MATCH(I100,'Nike pace chart'!$BY$9:$BY$16,0))/1000*((_xlfn.TEXTBEFORE(L100,":")+_xlfn.TEXTAFTER(L100,":")/60))</f>
        <v>0.34500000000000003</v>
      </c>
      <c r="L100" s="28" t="s">
        <v>236</v>
      </c>
      <c r="M100" s="5"/>
      <c r="N100" s="27"/>
      <c r="O100" s="5"/>
      <c r="P100" s="27"/>
      <c r="Q100" s="28"/>
      <c r="R100" s="5">
        <v>3</v>
      </c>
      <c r="S100" s="49" t="s">
        <v>195</v>
      </c>
      <c r="T100" s="5" t="str">
        <f>INDEX('Nike pace chart'!$BO$9:$BO$16,MATCH('Nike training program_21k'!S100,'Nike pace chart'!$BY$9:$BY$16,0))</f>
        <v>04:37</v>
      </c>
      <c r="U100" s="99">
        <f>INDEX('Nike pace chart'!$BV$9:$BV$16,MATCH(S100,'Nike pace chart'!$BY$9:$BY$16,0))/1000*((_xlfn.TEXTBEFORE(V100,":")+_xlfn.TEXTAFTER(V100,":")/60))</f>
        <v>0.44</v>
      </c>
      <c r="V100" s="28" t="s">
        <v>228</v>
      </c>
      <c r="W100" s="5"/>
      <c r="X100" s="27"/>
      <c r="Y100" s="5"/>
      <c r="Z100" s="27"/>
      <c r="AA100" s="28"/>
      <c r="AB100" s="102">
        <v>1</v>
      </c>
      <c r="AC100" s="5"/>
      <c r="AD100" s="27"/>
      <c r="AE100" s="5"/>
      <c r="AF100" s="27"/>
      <c r="AG100" s="5"/>
      <c r="AH100" s="5"/>
      <c r="AI100" s="45" t="s">
        <v>241</v>
      </c>
      <c r="AJ100" s="5" t="str">
        <f>INDEX('Nike pace chart'!$BO$9:$BO$16,MATCH('Nike training program_21k'!AI100,'Nike pace chart'!$BY$9:$BY$16,0))</f>
        <v>04:25</v>
      </c>
      <c r="AK100" s="99">
        <v>0.3</v>
      </c>
      <c r="AL100" s="28" t="s">
        <v>236</v>
      </c>
      <c r="AM100" s="5"/>
      <c r="AN100" s="27"/>
      <c r="AO100" s="5"/>
      <c r="AP100" s="27"/>
      <c r="AQ100" s="28"/>
      <c r="AR100" s="5">
        <v>3</v>
      </c>
      <c r="AS100" s="49" t="s">
        <v>195</v>
      </c>
      <c r="AT100" s="5" t="str">
        <f>INDEX('Nike pace chart'!$BO$9:$BO$16,MATCH('Nike training program_21k'!AS100,'Nike pace chart'!$BY$9:$BY$16,0))</f>
        <v>04:37</v>
      </c>
      <c r="AU100" s="99">
        <v>0.4</v>
      </c>
      <c r="AV100" s="28" t="s">
        <v>228</v>
      </c>
      <c r="AW100" s="5"/>
      <c r="AX100" s="27"/>
      <c r="AY100" s="5"/>
      <c r="AZ100" s="27"/>
      <c r="BA100" s="28"/>
    </row>
    <row r="101" spans="2:53" x14ac:dyDescent="0.25">
      <c r="B101" s="79"/>
      <c r="C101" s="5"/>
      <c r="D101" s="27"/>
      <c r="E101" s="5"/>
      <c r="F101" s="27"/>
      <c r="G101" s="5"/>
      <c r="H101" s="5"/>
      <c r="I101" s="46" t="s">
        <v>201</v>
      </c>
      <c r="J101" s="5" t="str">
        <f>INDEX('Nike pace chart'!$BO$9:$BO$16,MATCH('Nike training program_21k'!I101,'Nike pace chart'!$BY$9:$BY$16,0))</f>
        <v>05:39</v>
      </c>
      <c r="K101" s="99">
        <f>INDEX('Nike pace chart'!$BV$9:$BV$16,MATCH(I101,'Nike pace chart'!$BY$9:$BY$16,0))/1000*((_xlfn.TEXTBEFORE(L101,":")+_xlfn.TEXTAFTER(L101,":")/60))</f>
        <v>0.27</v>
      </c>
      <c r="L101" s="28" t="s">
        <v>236</v>
      </c>
      <c r="M101" s="5"/>
      <c r="N101" s="27"/>
      <c r="O101" s="5"/>
      <c r="P101" s="27"/>
      <c r="Q101" s="28"/>
      <c r="R101" s="5"/>
      <c r="S101" s="46" t="s">
        <v>201</v>
      </c>
      <c r="T101" s="5" t="str">
        <f>INDEX('Nike pace chart'!$BO$9:$BO$16,MATCH('Nike training program_21k'!S101,'Nike pace chart'!$BY$9:$BY$16,0))</f>
        <v>05:39</v>
      </c>
      <c r="U101" s="99">
        <f>INDEX('Nike pace chart'!$BV$9:$BV$16,MATCH(S101,'Nike pace chart'!$BY$9:$BY$16,0))/1000*((_xlfn.TEXTBEFORE(V101,":")+_xlfn.TEXTAFTER(V101,":")/60))</f>
        <v>0.18</v>
      </c>
      <c r="V101" s="28" t="s">
        <v>225</v>
      </c>
      <c r="W101" s="5"/>
      <c r="X101" s="27"/>
      <c r="Y101" s="5"/>
      <c r="Z101" s="27"/>
      <c r="AA101" s="28"/>
      <c r="AB101" s="102">
        <v>1</v>
      </c>
      <c r="AC101" s="5"/>
      <c r="AD101" s="27"/>
      <c r="AE101" s="5"/>
      <c r="AF101" s="27"/>
      <c r="AG101" s="5"/>
      <c r="AH101" s="5"/>
      <c r="AI101" s="46" t="s">
        <v>201</v>
      </c>
      <c r="AJ101" s="5" t="str">
        <f>INDEX('Nike pace chart'!$BO$9:$BO$16,MATCH('Nike training program_21k'!AI101,'Nike pace chart'!$BY$9:$BY$16,0))</f>
        <v>05:39</v>
      </c>
      <c r="AK101" s="99">
        <v>0.3</v>
      </c>
      <c r="AL101" s="28" t="s">
        <v>236</v>
      </c>
      <c r="AM101" s="5"/>
      <c r="AN101" s="27"/>
      <c r="AO101" s="5"/>
      <c r="AP101" s="27"/>
      <c r="AQ101" s="28"/>
      <c r="AR101" s="5"/>
      <c r="AS101" s="46" t="s">
        <v>201</v>
      </c>
      <c r="AT101" s="5" t="str">
        <f>INDEX('Nike pace chart'!$BO$9:$BO$16,MATCH('Nike training program_21k'!AS101,'Nike pace chart'!$BY$9:$BY$16,0))</f>
        <v>05:39</v>
      </c>
      <c r="AU101" s="99">
        <v>0.2</v>
      </c>
      <c r="AV101" s="28" t="s">
        <v>225</v>
      </c>
      <c r="AW101" s="5"/>
      <c r="AX101" s="27"/>
      <c r="AY101" s="5"/>
      <c r="AZ101" s="27"/>
      <c r="BA101" s="28"/>
    </row>
    <row r="102" spans="2:53" x14ac:dyDescent="0.25">
      <c r="B102" s="4" t="s">
        <v>245</v>
      </c>
      <c r="C102" s="5">
        <v>1</v>
      </c>
      <c r="D102" s="46" t="s">
        <v>201</v>
      </c>
      <c r="E102" s="5" t="str">
        <f>INDEX('Nike pace chart'!$BO$9:$BO$16,MATCH('Nike training program_21k'!D102,'Nike pace chart'!$BY$9:$BY$16,0))</f>
        <v>05:39</v>
      </c>
      <c r="F102" s="99">
        <f>INDEX('Nike pace chart'!$BV$9:$BV$16,MATCH(D102,'Nike pace chart'!$BY$9:$BY$16,0))/1000*((_xlfn.TEXTBEFORE(G102,":")+_xlfn.TEXTAFTER(G102,":")/60))</f>
        <v>2.6999999999999997</v>
      </c>
      <c r="G102" s="28" t="s">
        <v>233</v>
      </c>
      <c r="H102" s="5">
        <v>1</v>
      </c>
      <c r="I102" s="27" t="s">
        <v>255</v>
      </c>
      <c r="J102" s="5" t="s">
        <v>223</v>
      </c>
      <c r="K102" s="99"/>
      <c r="L102" s="28" t="s">
        <v>227</v>
      </c>
      <c r="M102" s="5">
        <v>1</v>
      </c>
      <c r="N102" s="46" t="s">
        <v>201</v>
      </c>
      <c r="O102" s="5" t="str">
        <f>INDEX('Nike pace chart'!$BO$9:$BO$16,MATCH('Nike training program_21k'!N102,'Nike pace chart'!$BY$9:$BY$16,0))</f>
        <v>05:39</v>
      </c>
      <c r="P102" s="99">
        <f>INDEX('Nike pace chart'!$BV$9:$BV$16,MATCH(N102,'Nike pace chart'!$BY$9:$BY$16,0))/1000*((_xlfn.TEXTBEFORE(Q102,":")+_xlfn.TEXTAFTER(Q102,":")/60))</f>
        <v>8.1</v>
      </c>
      <c r="Q102" s="28" t="s">
        <v>252</v>
      </c>
      <c r="R102" s="5">
        <v>1</v>
      </c>
      <c r="S102" s="27" t="s">
        <v>255</v>
      </c>
      <c r="T102" s="5" t="s">
        <v>223</v>
      </c>
      <c r="U102" s="27" t="s">
        <v>223</v>
      </c>
      <c r="V102" s="28" t="s">
        <v>227</v>
      </c>
      <c r="W102" s="5">
        <v>1</v>
      </c>
      <c r="X102" s="45" t="s">
        <v>241</v>
      </c>
      <c r="Y102" s="5" t="str">
        <f>INDEX('Nike pace chart'!$BO$9:$BO$16,MATCH('Nike training program_21k'!X102,'Nike pace chart'!$BY$9:$BY$16,0))</f>
        <v>04:25</v>
      </c>
      <c r="Z102" s="27">
        <v>20</v>
      </c>
      <c r="AA102" s="28" t="s">
        <v>223</v>
      </c>
      <c r="AB102" s="102">
        <v>1</v>
      </c>
      <c r="AC102" s="5">
        <v>1</v>
      </c>
      <c r="AD102" s="46" t="s">
        <v>201</v>
      </c>
      <c r="AE102" s="5" t="str">
        <f>INDEX('Nike pace chart'!$BO$9:$BO$16,MATCH('Nike training program_21k'!AD102,'Nike pace chart'!$BY$9:$BY$16,0))</f>
        <v>05:39</v>
      </c>
      <c r="AF102" s="27">
        <v>2.6</v>
      </c>
      <c r="AG102" s="28" t="s">
        <v>233</v>
      </c>
      <c r="AH102" s="5">
        <v>1</v>
      </c>
      <c r="AI102" s="27" t="s">
        <v>255</v>
      </c>
      <c r="AJ102" s="5" t="s">
        <v>223</v>
      </c>
      <c r="AK102" s="99"/>
      <c r="AL102" s="28" t="s">
        <v>227</v>
      </c>
      <c r="AM102" s="5">
        <v>1</v>
      </c>
      <c r="AN102" s="46" t="s">
        <v>201</v>
      </c>
      <c r="AO102" s="5" t="str">
        <f>INDEX('Nike pace chart'!$BO$9:$BO$16,MATCH('Nike training program_21k'!AN102,'Nike pace chart'!$BY$9:$BY$16,0))</f>
        <v>05:39</v>
      </c>
      <c r="AP102" s="27">
        <v>7.2</v>
      </c>
      <c r="AQ102" s="28" t="s">
        <v>252</v>
      </c>
      <c r="AR102" s="5">
        <v>1</v>
      </c>
      <c r="AS102" s="27" t="s">
        <v>255</v>
      </c>
      <c r="AT102" s="5" t="s">
        <v>223</v>
      </c>
      <c r="AU102" s="99" t="s">
        <v>223</v>
      </c>
      <c r="AV102" s="28" t="s">
        <v>227</v>
      </c>
      <c r="AW102" s="5">
        <v>1</v>
      </c>
      <c r="AX102" s="45" t="s">
        <v>241</v>
      </c>
      <c r="AY102" s="5"/>
      <c r="AZ102" s="27">
        <v>20</v>
      </c>
      <c r="BA102" s="28" t="s">
        <v>223</v>
      </c>
    </row>
    <row r="103" spans="2:53" x14ac:dyDescent="0.25">
      <c r="B103" s="79"/>
      <c r="C103" s="5"/>
      <c r="D103" s="27"/>
      <c r="E103" s="5"/>
      <c r="F103" s="27"/>
      <c r="G103" s="5"/>
      <c r="H103" s="5">
        <v>5</v>
      </c>
      <c r="I103" s="48" t="s">
        <v>198</v>
      </c>
      <c r="J103" s="5" t="str">
        <f>INDEX('Nike pace chart'!$BO$9:$BO$16,MATCH('Nike training program_21k'!I103,'Nike pace chart'!$BY$9:$BY$16,0))</f>
        <v>04:46</v>
      </c>
      <c r="K103" s="99">
        <f>INDEX('Nike pace chart'!$BV$9:$BV$16,MATCH(I103,'Nike pace chart'!$BY$9:$BY$16,0))/1000*((_xlfn.TEXTBEFORE(L103,":")+_xlfn.TEXTAFTER(L103,":")/60))</f>
        <v>1.05</v>
      </c>
      <c r="L103" s="28" t="s">
        <v>227</v>
      </c>
      <c r="M103" s="5"/>
      <c r="N103" s="27"/>
      <c r="O103" s="5"/>
      <c r="P103" s="27"/>
      <c r="Q103" s="28"/>
      <c r="R103" s="5">
        <v>7</v>
      </c>
      <c r="S103" s="51" t="s">
        <v>203</v>
      </c>
      <c r="T103" s="5" t="str">
        <f>INDEX('Nike pace chart'!$BO$9:$BO$16,MATCH('Nike training program_21k'!S103,'Nike pace chart'!$BY$9:$BY$16,0))</f>
        <v>04:13</v>
      </c>
      <c r="U103" s="99">
        <f>INDEX('Nike pace chart'!$BV$9:$BV$16,MATCH(S103,'Nike pace chart'!$BY$9:$BY$16,0))/1000*((_xlfn.TEXTBEFORE(V103,":")+_xlfn.TEXTAFTER(V103,":")/60))</f>
        <v>0.48</v>
      </c>
      <c r="V103" s="28" t="s">
        <v>228</v>
      </c>
      <c r="W103" s="5"/>
      <c r="X103" s="27"/>
      <c r="Y103" s="5"/>
      <c r="Z103" s="27"/>
      <c r="AA103" s="28"/>
      <c r="AB103" s="102">
        <v>1</v>
      </c>
      <c r="AC103" s="5"/>
      <c r="AD103" s="27"/>
      <c r="AE103" s="5"/>
      <c r="AF103" s="27"/>
      <c r="AG103" s="5"/>
      <c r="AH103" s="5">
        <v>5</v>
      </c>
      <c r="AI103" s="48" t="s">
        <v>198</v>
      </c>
      <c r="AJ103" s="5" t="str">
        <f>INDEX('Nike pace chart'!$BO$9:$BO$16,MATCH('Nike training program_21k'!AI103,'Nike pace chart'!$BY$9:$BY$16,0))</f>
        <v>04:46</v>
      </c>
      <c r="AK103" s="99">
        <v>1</v>
      </c>
      <c r="AL103" s="28" t="s">
        <v>227</v>
      </c>
      <c r="AM103" s="5"/>
      <c r="AN103" s="27"/>
      <c r="AO103" s="5"/>
      <c r="AP103" s="27"/>
      <c r="AQ103" s="28"/>
      <c r="AR103" s="5">
        <v>7</v>
      </c>
      <c r="AS103" s="51" t="s">
        <v>203</v>
      </c>
      <c r="AT103" s="5" t="str">
        <f>INDEX('Nike pace chart'!$BO$9:$BO$16,MATCH('Nike training program_21k'!AS103,'Nike pace chart'!$BY$9:$BY$16,0))</f>
        <v>04:13</v>
      </c>
      <c r="AU103" s="99">
        <v>0.45</v>
      </c>
      <c r="AV103" s="28" t="s">
        <v>228</v>
      </c>
      <c r="AW103" s="5"/>
      <c r="AX103" s="27"/>
      <c r="AY103" s="5"/>
      <c r="AZ103" s="27"/>
      <c r="BA103" s="28"/>
    </row>
    <row r="104" spans="2:53" x14ac:dyDescent="0.25">
      <c r="B104" s="79"/>
      <c r="C104" s="5"/>
      <c r="D104" s="27"/>
      <c r="E104" s="5"/>
      <c r="F104" s="27"/>
      <c r="G104" s="5"/>
      <c r="H104" s="5"/>
      <c r="I104" s="46" t="s">
        <v>201</v>
      </c>
      <c r="J104" s="5" t="str">
        <f>INDEX('Nike pace chart'!$BO$9:$BO$16,MATCH('Nike training program_21k'!I104,'Nike pace chart'!$BY$9:$BY$16,0))</f>
        <v>05:39</v>
      </c>
      <c r="K104" s="99">
        <f>INDEX('Nike pace chart'!$BV$9:$BV$16,MATCH(I104,'Nike pace chart'!$BY$9:$BY$16,0))/1000*((_xlfn.TEXTBEFORE(L104,":")+_xlfn.TEXTAFTER(L104,":")/60))</f>
        <v>0.36</v>
      </c>
      <c r="L104" s="28" t="s">
        <v>228</v>
      </c>
      <c r="M104" s="5"/>
      <c r="N104" s="27"/>
      <c r="O104" s="5"/>
      <c r="P104" s="27"/>
      <c r="Q104" s="28"/>
      <c r="R104" s="5"/>
      <c r="S104" s="46" t="s">
        <v>201</v>
      </c>
      <c r="T104" s="5" t="str">
        <f>INDEX('Nike pace chart'!$BO$9:$BO$16,MATCH('Nike training program_21k'!S104,'Nike pace chart'!$BY$9:$BY$16,0))</f>
        <v>05:39</v>
      </c>
      <c r="U104" s="99">
        <f>INDEX('Nike pace chart'!$BV$9:$BV$16,MATCH(S104,'Nike pace chart'!$BY$9:$BY$16,0))/1000*((_xlfn.TEXTBEFORE(V104,":")+_xlfn.TEXTAFTER(V104,":")/60))</f>
        <v>0.18</v>
      </c>
      <c r="V104" s="28" t="s">
        <v>225</v>
      </c>
      <c r="W104" s="5"/>
      <c r="X104" s="27"/>
      <c r="Y104" s="5"/>
      <c r="Z104" s="27"/>
      <c r="AA104" s="28"/>
      <c r="AB104" s="102">
        <v>1</v>
      </c>
      <c r="AC104" s="5"/>
      <c r="AD104" s="27"/>
      <c r="AE104" s="5"/>
      <c r="AF104" s="27"/>
      <c r="AG104" s="5"/>
      <c r="AH104" s="5"/>
      <c r="AI104" s="46" t="s">
        <v>201</v>
      </c>
      <c r="AJ104" s="5" t="str">
        <f>INDEX('Nike pace chart'!$BO$9:$BO$16,MATCH('Nike training program_21k'!AI104,'Nike pace chart'!$BY$9:$BY$16,0))</f>
        <v>05:39</v>
      </c>
      <c r="AK104" s="99">
        <v>0.4</v>
      </c>
      <c r="AL104" s="28" t="s">
        <v>228</v>
      </c>
      <c r="AM104" s="5"/>
      <c r="AN104" s="27"/>
      <c r="AO104" s="5"/>
      <c r="AP104" s="27"/>
      <c r="AQ104" s="28"/>
      <c r="AR104" s="5"/>
      <c r="AS104" s="46" t="s">
        <v>201</v>
      </c>
      <c r="AT104" s="5" t="str">
        <f>INDEX('Nike pace chart'!$BO$9:$BO$16,MATCH('Nike training program_21k'!AS104,'Nike pace chart'!$BY$9:$BY$16,0))</f>
        <v>05:39</v>
      </c>
      <c r="AU104" s="99">
        <v>0.15</v>
      </c>
      <c r="AV104" s="28" t="s">
        <v>225</v>
      </c>
      <c r="AW104" s="5"/>
      <c r="AX104" s="27"/>
      <c r="AY104" s="5"/>
      <c r="AZ104" s="27"/>
      <c r="BA104" s="28"/>
    </row>
    <row r="105" spans="2:53" x14ac:dyDescent="0.25">
      <c r="B105" s="4" t="s">
        <v>247</v>
      </c>
      <c r="C105" s="5">
        <v>1</v>
      </c>
      <c r="D105" s="46" t="s">
        <v>201</v>
      </c>
      <c r="E105" s="5" t="str">
        <f>INDEX('Nike pace chart'!$BO$9:$BO$16,MATCH('Nike training program_21k'!D105,'Nike pace chart'!$BY$9:$BY$16,0))</f>
        <v>05:39</v>
      </c>
      <c r="F105" s="99">
        <f>INDEX('Nike pace chart'!$BV$9:$BV$16,MATCH(D105,'Nike pace chart'!$BY$9:$BY$16,0))/1000*((_xlfn.TEXTBEFORE(G105,":")+_xlfn.TEXTAFTER(G105,":")/60))</f>
        <v>2.6999999999999997</v>
      </c>
      <c r="G105" s="28" t="s">
        <v>233</v>
      </c>
      <c r="H105" s="5">
        <v>1</v>
      </c>
      <c r="I105" s="27" t="s">
        <v>255</v>
      </c>
      <c r="J105" s="5" t="s">
        <v>223</v>
      </c>
      <c r="K105" s="99"/>
      <c r="L105" s="28" t="s">
        <v>227</v>
      </c>
      <c r="M105" s="5">
        <v>1</v>
      </c>
      <c r="N105" s="46" t="s">
        <v>201</v>
      </c>
      <c r="O105" s="5" t="str">
        <f>INDEX('Nike pace chart'!$BO$9:$BO$16,MATCH('Nike training program_21k'!N105,'Nike pace chart'!$BY$9:$BY$16,0))</f>
        <v>05:39</v>
      </c>
      <c r="P105" s="99">
        <f>INDEX('Nike pace chart'!$BV$9:$BV$16,MATCH(N105,'Nike pace chart'!$BY$9:$BY$16,0))/1000*((_xlfn.TEXTBEFORE(Q105,":")+_xlfn.TEXTAFTER(Q105,":")/60))</f>
        <v>10.799999999999999</v>
      </c>
      <c r="Q105" s="28" t="s">
        <v>597</v>
      </c>
      <c r="R105" s="5">
        <v>1</v>
      </c>
      <c r="S105" s="27" t="s">
        <v>255</v>
      </c>
      <c r="T105" s="5" t="s">
        <v>223</v>
      </c>
      <c r="U105" s="27" t="s">
        <v>223</v>
      </c>
      <c r="V105" s="28" t="s">
        <v>227</v>
      </c>
      <c r="W105" s="5">
        <v>1</v>
      </c>
      <c r="X105" s="45" t="s">
        <v>241</v>
      </c>
      <c r="Y105" s="5" t="str">
        <f>INDEX('Nike pace chart'!$BO$9:$BO$16,MATCH('Nike training program_21k'!X105,'Nike pace chart'!$BY$9:$BY$16,0))</f>
        <v>04:25</v>
      </c>
      <c r="Z105" s="27">
        <f>INDEX('Nike pace chart'!$BV$9:$BV$16,MATCH(X105,'Nike pace chart'!$BY$9:$BY$16,0))/1000*((_xlfn.TEXTBEFORE(AA105,":")+_xlfn.TEXTAFTER(AA105,":")/60))</f>
        <v>13.8</v>
      </c>
      <c r="AA105" s="28" t="s">
        <v>597</v>
      </c>
      <c r="AB105" s="102">
        <v>1</v>
      </c>
      <c r="AC105" s="5">
        <v>1</v>
      </c>
      <c r="AD105" s="46" t="s">
        <v>201</v>
      </c>
      <c r="AE105" s="5" t="str">
        <f>INDEX('Nike pace chart'!$BO$9:$BO$16,MATCH('Nike training program_21k'!AD105,'Nike pace chart'!$BY$9:$BY$16,0))</f>
        <v>05:39</v>
      </c>
      <c r="AF105" s="27">
        <v>2.6</v>
      </c>
      <c r="AG105" s="28" t="s">
        <v>233</v>
      </c>
      <c r="AH105" s="5">
        <v>1</v>
      </c>
      <c r="AI105" s="27" t="s">
        <v>255</v>
      </c>
      <c r="AJ105" s="5" t="s">
        <v>223</v>
      </c>
      <c r="AK105" s="99"/>
      <c r="AL105" s="28" t="s">
        <v>227</v>
      </c>
      <c r="AM105" s="5">
        <v>1</v>
      </c>
      <c r="AN105" s="46" t="s">
        <v>201</v>
      </c>
      <c r="AO105" s="5" t="str">
        <f>INDEX('Nike pace chart'!$BO$9:$BO$16,MATCH('Nike training program_21k'!AN105,'Nike pace chart'!$BY$9:$BY$16,0))</f>
        <v>05:39</v>
      </c>
      <c r="AP105" s="27">
        <v>9.6</v>
      </c>
      <c r="AQ105" s="28" t="s">
        <v>597</v>
      </c>
      <c r="AR105" s="5">
        <v>1</v>
      </c>
      <c r="AS105" s="27" t="s">
        <v>255</v>
      </c>
      <c r="AT105" s="5" t="s">
        <v>223</v>
      </c>
      <c r="AU105" s="99" t="s">
        <v>223</v>
      </c>
      <c r="AV105" s="28" t="s">
        <v>227</v>
      </c>
      <c r="AW105" s="5">
        <v>1</v>
      </c>
      <c r="AX105" s="45" t="s">
        <v>241</v>
      </c>
      <c r="AY105" s="5"/>
      <c r="AZ105" s="27"/>
      <c r="BA105" s="28" t="s">
        <v>597</v>
      </c>
    </row>
    <row r="106" spans="2:53" x14ac:dyDescent="0.25">
      <c r="B106" s="79"/>
      <c r="C106" s="5"/>
      <c r="D106" s="27"/>
      <c r="E106" s="5"/>
      <c r="F106" s="27"/>
      <c r="G106" s="5"/>
      <c r="H106" s="5">
        <v>3</v>
      </c>
      <c r="I106" s="48" t="s">
        <v>198</v>
      </c>
      <c r="J106" s="5" t="str">
        <f>INDEX('Nike pace chart'!$BO$9:$BO$16,MATCH('Nike training program_21k'!I106,'Nike pace chart'!$BY$9:$BY$16,0))</f>
        <v>04:46</v>
      </c>
      <c r="K106" s="99">
        <f>INDEX('Nike pace chart'!$BV$9:$BV$16,MATCH(I106,'Nike pace chart'!$BY$9:$BY$16,0))/1000*((_xlfn.TEXTBEFORE(L106,":")+_xlfn.TEXTAFTER(L106,":")/60))</f>
        <v>1.68</v>
      </c>
      <c r="L106" s="28" t="s">
        <v>253</v>
      </c>
      <c r="M106" s="5"/>
      <c r="N106" s="27"/>
      <c r="O106" s="5"/>
      <c r="P106" s="27"/>
      <c r="Q106" s="28"/>
      <c r="R106" s="5">
        <v>1</v>
      </c>
      <c r="S106" s="46" t="s">
        <v>201</v>
      </c>
      <c r="T106" s="5" t="str">
        <f>INDEX('Nike pace chart'!$BO$9:$BO$16,MATCH('Nike training program_21k'!S106,'Nike pace chart'!$BY$9:$BY$16,0))</f>
        <v>05:39</v>
      </c>
      <c r="U106" s="99">
        <f>INDEX('Nike pace chart'!$BV$9:$BV$16,MATCH(S106,'Nike pace chart'!$BY$9:$BY$16,0))/1000*((_xlfn.TEXTBEFORE(V106,":")+_xlfn.TEXTAFTER(V106,":")/60))</f>
        <v>0.89999999999999991</v>
      </c>
      <c r="V106" s="28" t="s">
        <v>227</v>
      </c>
      <c r="W106" s="5"/>
      <c r="X106" s="27"/>
      <c r="Y106" s="5"/>
      <c r="Z106" s="27"/>
      <c r="AA106" s="28"/>
      <c r="AB106" s="102">
        <v>1</v>
      </c>
      <c r="AC106" s="5"/>
      <c r="AD106" s="27"/>
      <c r="AE106" s="5"/>
      <c r="AF106" s="27"/>
      <c r="AG106" s="5"/>
      <c r="AH106" s="5">
        <v>3</v>
      </c>
      <c r="AI106" s="48" t="s">
        <v>198</v>
      </c>
      <c r="AJ106" s="5" t="str">
        <f>INDEX('Nike pace chart'!$BO$9:$BO$16,MATCH('Nike training program_21k'!AI106,'Nike pace chart'!$BY$9:$BY$16,0))</f>
        <v>04:46</v>
      </c>
      <c r="AK106" s="99">
        <v>1.7</v>
      </c>
      <c r="AL106" s="28" t="s">
        <v>253</v>
      </c>
      <c r="AM106" s="5"/>
      <c r="AN106" s="27"/>
      <c r="AO106" s="5"/>
      <c r="AP106" s="27"/>
      <c r="AQ106" s="28"/>
      <c r="AR106" s="5">
        <v>1</v>
      </c>
      <c r="AS106" s="46" t="s">
        <v>201</v>
      </c>
      <c r="AT106" s="5" t="str">
        <f>INDEX('Nike pace chart'!$BO$9:$BO$16,MATCH('Nike training program_21k'!AS106,'Nike pace chart'!$BY$9:$BY$16,0))</f>
        <v>05:39</v>
      </c>
      <c r="AU106" s="99">
        <v>0.85</v>
      </c>
      <c r="AV106" s="28" t="s">
        <v>227</v>
      </c>
      <c r="AW106" s="5"/>
      <c r="AX106" s="27"/>
      <c r="AY106" s="5"/>
      <c r="AZ106" s="27"/>
      <c r="BA106" s="28"/>
    </row>
    <row r="107" spans="2:53" x14ac:dyDescent="0.25">
      <c r="B107" s="79"/>
      <c r="C107" s="5"/>
      <c r="D107" s="27"/>
      <c r="E107" s="5"/>
      <c r="F107" s="27"/>
      <c r="G107" s="5"/>
      <c r="H107" s="5"/>
      <c r="I107" s="46" t="s">
        <v>201</v>
      </c>
      <c r="J107" s="5" t="str">
        <f>INDEX('Nike pace chart'!$BO$9:$BO$16,MATCH('Nike training program_21k'!I107,'Nike pace chart'!$BY$9:$BY$16,0))</f>
        <v>05:39</v>
      </c>
      <c r="K107" s="99">
        <f>INDEX('Nike pace chart'!$BV$9:$BV$16,MATCH(I107,'Nike pace chart'!$BY$9:$BY$16,0))/1000*((_xlfn.TEXTBEFORE(L107,":")+_xlfn.TEXTAFTER(L107,":")/60))</f>
        <v>0.54</v>
      </c>
      <c r="L107" s="28" t="s">
        <v>235</v>
      </c>
      <c r="M107" s="5"/>
      <c r="N107" s="27"/>
      <c r="O107" s="5"/>
      <c r="P107" s="27"/>
      <c r="Q107" s="28"/>
      <c r="R107" s="5">
        <v>1</v>
      </c>
      <c r="S107" s="48" t="s">
        <v>198</v>
      </c>
      <c r="T107" s="5" t="str">
        <f>INDEX('Nike pace chart'!$BO$9:$BO$16,MATCH('Nike training program_21k'!S107,'Nike pace chart'!$BY$9:$BY$16,0))</f>
        <v>04:46</v>
      </c>
      <c r="U107" s="99">
        <f>INDEX('Nike pace chart'!$BV$9:$BV$16,MATCH(S107,'Nike pace chart'!$BY$9:$BY$16,0))/1000*((_xlfn.TEXTBEFORE(V107,":")+_xlfn.TEXTAFTER(V107,":")/60))</f>
        <v>0.84</v>
      </c>
      <c r="V107" s="28" t="s">
        <v>256</v>
      </c>
      <c r="W107" s="5"/>
      <c r="X107" s="27"/>
      <c r="Y107" s="5"/>
      <c r="Z107" s="27"/>
      <c r="AA107" s="28"/>
      <c r="AB107" s="102">
        <v>1</v>
      </c>
      <c r="AC107" s="5"/>
      <c r="AD107" s="27"/>
      <c r="AE107" s="5"/>
      <c r="AF107" s="27"/>
      <c r="AG107" s="5"/>
      <c r="AH107" s="5"/>
      <c r="AI107" s="46" t="s">
        <v>201</v>
      </c>
      <c r="AJ107" s="5" t="str">
        <f>INDEX('Nike pace chart'!$BO$9:$BO$16,MATCH('Nike training program_21k'!AI107,'Nike pace chart'!$BY$9:$BY$16,0))</f>
        <v>05:39</v>
      </c>
      <c r="AK107" s="99">
        <v>0.5</v>
      </c>
      <c r="AL107" s="28" t="s">
        <v>235</v>
      </c>
      <c r="AM107" s="5"/>
      <c r="AN107" s="27"/>
      <c r="AO107" s="5"/>
      <c r="AP107" s="27"/>
      <c r="AQ107" s="28"/>
      <c r="AR107" s="5"/>
      <c r="AS107" s="48" t="s">
        <v>198</v>
      </c>
      <c r="AT107" s="5" t="str">
        <f>INDEX('Nike pace chart'!$BO$9:$BO$16,MATCH('Nike training program_21k'!AS107,'Nike pace chart'!$BY$9:$BY$16,0))</f>
        <v>04:46</v>
      </c>
      <c r="AU107" s="99">
        <v>0.85</v>
      </c>
      <c r="AV107" s="28" t="s">
        <v>256</v>
      </c>
      <c r="AW107" s="5"/>
      <c r="AX107" s="27"/>
      <c r="AY107" s="5"/>
      <c r="AZ107" s="27"/>
      <c r="BA107" s="28"/>
    </row>
    <row r="108" spans="2:53" x14ac:dyDescent="0.25">
      <c r="B108" s="79"/>
      <c r="C108" s="5"/>
      <c r="D108" s="27"/>
      <c r="E108" s="5"/>
      <c r="F108" s="27"/>
      <c r="G108" s="5"/>
      <c r="H108" s="5"/>
      <c r="I108" s="49" t="s">
        <v>195</v>
      </c>
      <c r="J108" s="5" t="str">
        <f>INDEX('Nike pace chart'!$BO$9:$BO$16,MATCH('Nike training program_21k'!I108,'Nike pace chart'!$BY$9:$BY$16,0))</f>
        <v>04:37</v>
      </c>
      <c r="K108" s="99">
        <f>INDEX('Nike pace chart'!$BV$9:$BV$16,MATCH(I108,'Nike pace chart'!$BY$9:$BY$16,0))/1000*((_xlfn.TEXTBEFORE(L108,":")+_xlfn.TEXTAFTER(L108,":")/60))</f>
        <v>0.88</v>
      </c>
      <c r="L108" s="28" t="s">
        <v>256</v>
      </c>
      <c r="M108" s="5"/>
      <c r="N108" s="27"/>
      <c r="O108" s="5"/>
      <c r="P108" s="27"/>
      <c r="Q108" s="28"/>
      <c r="R108" s="5">
        <v>1</v>
      </c>
      <c r="S108" s="49" t="s">
        <v>195</v>
      </c>
      <c r="T108" s="5" t="str">
        <f>INDEX('Nike pace chart'!$BO$9:$BO$16,MATCH('Nike training program_21k'!S108,'Nike pace chart'!$BY$9:$BY$16,0))</f>
        <v>04:37</v>
      </c>
      <c r="U108" s="99">
        <f>INDEX('Nike pace chart'!$BV$9:$BV$16,MATCH(S108,'Nike pace chart'!$BY$9:$BY$16,0))/1000*((_xlfn.TEXTBEFORE(V108,":")+_xlfn.TEXTAFTER(V108,":")/60))</f>
        <v>0.66</v>
      </c>
      <c r="V108" s="28" t="s">
        <v>235</v>
      </c>
      <c r="W108" s="5"/>
      <c r="X108" s="27"/>
      <c r="Y108" s="5"/>
      <c r="Z108" s="27"/>
      <c r="AA108" s="28"/>
      <c r="AB108" s="102">
        <v>1</v>
      </c>
      <c r="AC108" s="5"/>
      <c r="AD108" s="27"/>
      <c r="AE108" s="5"/>
      <c r="AF108" s="27"/>
      <c r="AG108" s="5"/>
      <c r="AH108" s="5"/>
      <c r="AI108" s="49" t="s">
        <v>195</v>
      </c>
      <c r="AJ108" s="5" t="str">
        <f>INDEX('Nike pace chart'!$BO$9:$BO$16,MATCH('Nike training program_21k'!AI108,'Nike pace chart'!$BY$9:$BY$16,0))</f>
        <v>04:37</v>
      </c>
      <c r="AK108" s="99">
        <v>0.85</v>
      </c>
      <c r="AL108" s="28" t="s">
        <v>256</v>
      </c>
      <c r="AM108" s="5"/>
      <c r="AN108" s="27"/>
      <c r="AO108" s="5"/>
      <c r="AP108" s="27"/>
      <c r="AQ108" s="28"/>
      <c r="AR108" s="5"/>
      <c r="AS108" s="49" t="s">
        <v>195</v>
      </c>
      <c r="AT108" s="5" t="str">
        <f>INDEX('Nike pace chart'!$BO$9:$BO$16,MATCH('Nike training program_21k'!AS108,'Nike pace chart'!$BY$9:$BY$16,0))</f>
        <v>04:37</v>
      </c>
      <c r="AU108" s="99">
        <v>0.65</v>
      </c>
      <c r="AV108" s="28" t="s">
        <v>235</v>
      </c>
      <c r="AW108" s="5"/>
      <c r="AX108" s="27"/>
      <c r="AY108" s="5"/>
      <c r="AZ108" s="27"/>
      <c r="BA108" s="28"/>
    </row>
    <row r="109" spans="2:53" x14ac:dyDescent="0.25">
      <c r="B109" s="79"/>
      <c r="C109" s="5"/>
      <c r="D109" s="27"/>
      <c r="E109" s="5"/>
      <c r="F109" s="27"/>
      <c r="G109" s="5"/>
      <c r="H109" s="5"/>
      <c r="I109" s="46" t="s">
        <v>201</v>
      </c>
      <c r="J109" s="5" t="str">
        <f>INDEX('Nike pace chart'!$BO$9:$BO$16,MATCH('Nike training program_21k'!I109,'Nike pace chart'!$BY$9:$BY$16,0))</f>
        <v>05:39</v>
      </c>
      <c r="K109" s="99">
        <f>INDEX('Nike pace chart'!$BV$9:$BV$16,MATCH(I109,'Nike pace chart'!$BY$9:$BY$16,0))/1000*((_xlfn.TEXTBEFORE(L109,":")+_xlfn.TEXTAFTER(L109,":")/60))</f>
        <v>0.36</v>
      </c>
      <c r="L109" s="28" t="s">
        <v>228</v>
      </c>
      <c r="M109" s="5"/>
      <c r="N109" s="27"/>
      <c r="O109" s="5"/>
      <c r="P109" s="27"/>
      <c r="Q109" s="28"/>
      <c r="R109" s="5">
        <v>1</v>
      </c>
      <c r="S109" s="45" t="s">
        <v>241</v>
      </c>
      <c r="T109" s="5" t="str">
        <f>INDEX('Nike pace chart'!$BO$9:$BO$16,MATCH('Nike training program_21k'!S109,'Nike pace chart'!$BY$9:$BY$16,0))</f>
        <v>04:25</v>
      </c>
      <c r="U109" s="99">
        <f>INDEX('Nike pace chart'!$BV$9:$BV$16,MATCH(S109,'Nike pace chart'!$BY$9:$BY$16,0))/1000*((_xlfn.TEXTBEFORE(V109,":")+_xlfn.TEXTAFTER(V109,":")/60))</f>
        <v>0.46</v>
      </c>
      <c r="V109" s="28" t="s">
        <v>228</v>
      </c>
      <c r="W109" s="5"/>
      <c r="X109" s="27"/>
      <c r="Y109" s="5"/>
      <c r="Z109" s="27"/>
      <c r="AA109" s="28"/>
      <c r="AB109" s="102">
        <v>1</v>
      </c>
      <c r="AC109" s="5"/>
      <c r="AD109" s="27"/>
      <c r="AE109" s="5"/>
      <c r="AF109" s="27"/>
      <c r="AG109" s="5"/>
      <c r="AH109" s="5"/>
      <c r="AI109" s="46" t="s">
        <v>201</v>
      </c>
      <c r="AJ109" s="5" t="str">
        <f>INDEX('Nike pace chart'!$BO$9:$BO$16,MATCH('Nike training program_21k'!AI109,'Nike pace chart'!$BY$9:$BY$16,0))</f>
        <v>05:39</v>
      </c>
      <c r="AK109" s="99">
        <v>0.35</v>
      </c>
      <c r="AL109" s="28" t="s">
        <v>228</v>
      </c>
      <c r="AM109" s="5"/>
      <c r="AN109" s="27"/>
      <c r="AO109" s="5"/>
      <c r="AP109" s="27"/>
      <c r="AQ109" s="28"/>
      <c r="AR109" s="5"/>
      <c r="AS109" s="45" t="s">
        <v>241</v>
      </c>
      <c r="AT109" s="5" t="str">
        <f>INDEX('Nike pace chart'!$BO$9:$BO$16,MATCH('Nike training program_21k'!AS109,'Nike pace chart'!$BY$9:$BY$16,0))</f>
        <v>04:25</v>
      </c>
      <c r="AU109" s="99">
        <v>0.45</v>
      </c>
      <c r="AV109" s="28" t="s">
        <v>228</v>
      </c>
      <c r="AW109" s="5"/>
      <c r="AX109" s="27"/>
      <c r="AY109" s="5"/>
      <c r="AZ109" s="27"/>
      <c r="BA109" s="28"/>
    </row>
    <row r="110" spans="2:53" x14ac:dyDescent="0.25">
      <c r="B110" s="79"/>
      <c r="C110" s="5"/>
      <c r="D110" s="27"/>
      <c r="E110" s="5"/>
      <c r="F110" s="27"/>
      <c r="G110" s="5"/>
      <c r="H110" s="5"/>
      <c r="I110" s="45" t="s">
        <v>241</v>
      </c>
      <c r="J110" s="5" t="str">
        <f>INDEX('Nike pace chart'!$BO$9:$BO$16,MATCH('Nike training program_21k'!I110,'Nike pace chart'!$BY$9:$BY$16,0))</f>
        <v>04:25</v>
      </c>
      <c r="K110" s="99">
        <f>INDEX('Nike pace chart'!$BV$9:$BV$16,MATCH(I110,'Nike pace chart'!$BY$9:$BY$16,0))/1000*((_xlfn.TEXTBEFORE(L110,":")+_xlfn.TEXTAFTER(L110,":")/60))</f>
        <v>0.46</v>
      </c>
      <c r="L110" s="28" t="s">
        <v>228</v>
      </c>
      <c r="M110" s="5"/>
      <c r="N110" s="27"/>
      <c r="O110" s="5"/>
      <c r="P110" s="27"/>
      <c r="Q110" s="28"/>
      <c r="R110" s="5">
        <v>1</v>
      </c>
      <c r="S110" s="51" t="s">
        <v>203</v>
      </c>
      <c r="T110" s="5" t="str">
        <f>INDEX('Nike pace chart'!$BO$9:$BO$16,MATCH('Nike training program_21k'!S110,'Nike pace chart'!$BY$9:$BY$16,0))</f>
        <v>04:13</v>
      </c>
      <c r="U110" s="99">
        <f>INDEX('Nike pace chart'!$BV$9:$BV$16,MATCH(S110,'Nike pace chart'!$BY$9:$BY$16,0))/1000*((_xlfn.TEXTBEFORE(V110,":")+_xlfn.TEXTAFTER(V110,":")/60))</f>
        <v>0.24</v>
      </c>
      <c r="V110" s="28" t="s">
        <v>225</v>
      </c>
      <c r="W110" s="5"/>
      <c r="X110" s="27"/>
      <c r="Y110" s="5"/>
      <c r="Z110" s="27"/>
      <c r="AA110" s="28"/>
      <c r="AB110" s="102">
        <v>1</v>
      </c>
      <c r="AC110" s="5"/>
      <c r="AD110" s="27"/>
      <c r="AE110" s="5"/>
      <c r="AF110" s="27"/>
      <c r="AG110" s="5"/>
      <c r="AH110" s="5"/>
      <c r="AI110" s="45" t="s">
        <v>241</v>
      </c>
      <c r="AJ110" s="5" t="str">
        <f>INDEX('Nike pace chart'!$BO$9:$BO$16,MATCH('Nike training program_21k'!AI110,'Nike pace chart'!$BY$9:$BY$16,0))</f>
        <v>04:25</v>
      </c>
      <c r="AK110" s="99">
        <v>0.45</v>
      </c>
      <c r="AL110" s="28" t="s">
        <v>228</v>
      </c>
      <c r="AM110" s="5"/>
      <c r="AN110" s="27"/>
      <c r="AO110" s="5"/>
      <c r="AP110" s="27"/>
      <c r="AQ110" s="28"/>
      <c r="AR110" s="5"/>
      <c r="AS110" s="51" t="s">
        <v>203</v>
      </c>
      <c r="AT110" s="5" t="str">
        <f>INDEX('Nike pace chart'!$BO$9:$BO$16,MATCH('Nike training program_21k'!AS110,'Nike pace chart'!$BY$9:$BY$16,0))</f>
        <v>04:13</v>
      </c>
      <c r="AU110" s="99">
        <v>0.2</v>
      </c>
      <c r="AV110" s="28" t="s">
        <v>225</v>
      </c>
      <c r="AW110" s="5"/>
      <c r="AX110" s="27"/>
      <c r="AY110" s="5"/>
      <c r="AZ110" s="27"/>
      <c r="BA110" s="28"/>
    </row>
    <row r="111" spans="2:53" x14ac:dyDescent="0.25">
      <c r="B111" s="79"/>
      <c r="C111" s="5"/>
      <c r="D111" s="27"/>
      <c r="E111" s="5"/>
      <c r="F111" s="27"/>
      <c r="G111" s="5"/>
      <c r="H111" s="5"/>
      <c r="I111" s="46" t="s">
        <v>201</v>
      </c>
      <c r="J111" s="5" t="str">
        <f>INDEX('Nike pace chart'!$BO$9:$BO$16,MATCH('Nike training program_21k'!I111,'Nike pace chart'!$BY$9:$BY$16,0))</f>
        <v>05:39</v>
      </c>
      <c r="K111" s="99">
        <f>INDEX('Nike pace chart'!$BV$9:$BV$16,MATCH(I111,'Nike pace chart'!$BY$9:$BY$16,0))/1000*((_xlfn.TEXTBEFORE(L111,":")+_xlfn.TEXTAFTER(L111,":")/60))</f>
        <v>0.36</v>
      </c>
      <c r="L111" s="28" t="s">
        <v>228</v>
      </c>
      <c r="M111" s="5"/>
      <c r="N111" s="27"/>
      <c r="O111" s="5"/>
      <c r="P111" s="27"/>
      <c r="Q111" s="28"/>
      <c r="R111" s="5"/>
      <c r="S111" s="27"/>
      <c r="T111" s="5"/>
      <c r="U111" s="27"/>
      <c r="V111" s="28"/>
      <c r="W111" s="5"/>
      <c r="X111" s="27"/>
      <c r="Y111" s="5"/>
      <c r="Z111" s="27"/>
      <c r="AA111" s="28"/>
      <c r="AB111" s="102">
        <v>1</v>
      </c>
      <c r="AC111" s="5"/>
      <c r="AD111" s="27"/>
      <c r="AE111" s="5"/>
      <c r="AF111" s="27"/>
      <c r="AG111" s="5"/>
      <c r="AH111" s="5"/>
      <c r="AI111" s="46" t="s">
        <v>201</v>
      </c>
      <c r="AJ111" s="5" t="str">
        <f>INDEX('Nike pace chart'!$BO$9:$BO$16,MATCH('Nike training program_21k'!AI111,'Nike pace chart'!$BY$9:$BY$16,0))</f>
        <v>05:39</v>
      </c>
      <c r="AK111" s="99">
        <v>0.35</v>
      </c>
      <c r="AL111" s="28" t="s">
        <v>228</v>
      </c>
      <c r="AM111" s="5"/>
      <c r="AN111" s="27"/>
      <c r="AO111" s="5"/>
      <c r="AP111" s="27"/>
      <c r="AQ111" s="28"/>
      <c r="AR111" s="5"/>
      <c r="AS111" s="27"/>
      <c r="AT111" s="5"/>
      <c r="AU111" s="99"/>
      <c r="AV111" s="28"/>
      <c r="AW111" s="5"/>
      <c r="AX111" s="27"/>
      <c r="AY111" s="5"/>
      <c r="AZ111" s="27"/>
      <c r="BA111" s="28"/>
    </row>
    <row r="112" spans="2:53" x14ac:dyDescent="0.25">
      <c r="B112" s="4" t="s">
        <v>251</v>
      </c>
      <c r="C112" s="5">
        <v>1</v>
      </c>
      <c r="D112" s="46" t="s">
        <v>201</v>
      </c>
      <c r="E112" s="5" t="str">
        <f>INDEX('Nike pace chart'!$BO$9:$BO$16,MATCH('Nike training program_21k'!D112,'Nike pace chart'!$BY$9:$BY$16,0))</f>
        <v>05:39</v>
      </c>
      <c r="F112" s="99">
        <f>INDEX('Nike pace chart'!$BV$9:$BV$16,MATCH(D112,'Nike pace chart'!$BY$9:$BY$16,0))/1000*((_xlfn.TEXTBEFORE(G112,":")+_xlfn.TEXTAFTER(G112,":")/60))</f>
        <v>2.6999999999999997</v>
      </c>
      <c r="G112" s="28" t="s">
        <v>233</v>
      </c>
      <c r="H112" s="5">
        <v>1</v>
      </c>
      <c r="I112" s="27" t="s">
        <v>255</v>
      </c>
      <c r="J112" s="5" t="s">
        <v>223</v>
      </c>
      <c r="K112" s="99"/>
      <c r="L112" s="28" t="s">
        <v>227</v>
      </c>
      <c r="M112" s="5">
        <v>1</v>
      </c>
      <c r="N112" s="46" t="s">
        <v>201</v>
      </c>
      <c r="O112" s="5" t="str">
        <f>INDEX('Nike pace chart'!$BO$9:$BO$16,MATCH('Nike training program_21k'!N112,'Nike pace chart'!$BY$9:$BY$16,0))</f>
        <v>05:39</v>
      </c>
      <c r="P112" s="27">
        <v>5</v>
      </c>
      <c r="Q112" s="28" t="s">
        <v>223</v>
      </c>
      <c r="R112" s="5">
        <v>1</v>
      </c>
      <c r="S112" s="27" t="s">
        <v>255</v>
      </c>
      <c r="T112" s="5" t="s">
        <v>223</v>
      </c>
      <c r="U112" s="27" t="s">
        <v>223</v>
      </c>
      <c r="V112" s="28" t="s">
        <v>234</v>
      </c>
      <c r="W112" s="5">
        <v>1</v>
      </c>
      <c r="X112" s="45" t="s">
        <v>241</v>
      </c>
      <c r="Y112" s="5" t="str">
        <f>INDEX('Nike pace chart'!$BO$9:$BO$16,MATCH('Nike training program_21k'!X112,'Nike pace chart'!$BY$9:$BY$16,0))</f>
        <v>04:25</v>
      </c>
      <c r="Z112" s="27">
        <v>11</v>
      </c>
      <c r="AA112" s="28" t="s">
        <v>223</v>
      </c>
      <c r="AB112" s="102">
        <v>1</v>
      </c>
      <c r="AC112" s="5">
        <v>1</v>
      </c>
      <c r="AD112" s="46" t="s">
        <v>201</v>
      </c>
      <c r="AE112" s="5" t="str">
        <f>INDEX('Nike pace chart'!$BO$9:$BO$16,MATCH('Nike training program_21k'!AD112,'Nike pace chart'!$BY$9:$BY$16,0))</f>
        <v>05:39</v>
      </c>
      <c r="AF112" s="27">
        <v>2.6</v>
      </c>
      <c r="AG112" s="28" t="s">
        <v>233</v>
      </c>
      <c r="AH112" s="5">
        <v>1</v>
      </c>
      <c r="AI112" s="27" t="s">
        <v>255</v>
      </c>
      <c r="AJ112" s="5" t="s">
        <v>223</v>
      </c>
      <c r="AK112" s="99"/>
      <c r="AL112" s="28" t="s">
        <v>227</v>
      </c>
      <c r="AM112" s="5">
        <v>1</v>
      </c>
      <c r="AN112" s="46" t="s">
        <v>201</v>
      </c>
      <c r="AO112" s="5" t="str">
        <f>INDEX('Nike pace chart'!$BO$9:$BO$16,MATCH('Nike training program_21k'!AN112,'Nike pace chart'!$BY$9:$BY$16,0))</f>
        <v>05:39</v>
      </c>
      <c r="AP112" s="27">
        <v>5</v>
      </c>
      <c r="AQ112" s="28" t="s">
        <v>223</v>
      </c>
      <c r="AR112" s="5">
        <v>1</v>
      </c>
      <c r="AS112" s="27" t="s">
        <v>255</v>
      </c>
      <c r="AT112" s="5" t="s">
        <v>223</v>
      </c>
      <c r="AU112" s="99" t="s">
        <v>223</v>
      </c>
      <c r="AV112" s="28" t="s">
        <v>234</v>
      </c>
      <c r="AW112" s="5">
        <v>1</v>
      </c>
      <c r="AX112" s="45" t="s">
        <v>241</v>
      </c>
      <c r="AY112" s="5"/>
      <c r="AZ112" s="27">
        <v>11</v>
      </c>
      <c r="BA112" s="28" t="s">
        <v>223</v>
      </c>
    </row>
    <row r="113" spans="2:53" x14ac:dyDescent="0.25">
      <c r="B113" s="79"/>
      <c r="C113" s="5"/>
      <c r="D113" s="27"/>
      <c r="E113" s="5"/>
      <c r="F113" s="27"/>
      <c r="G113" s="5"/>
      <c r="H113" s="5">
        <v>1</v>
      </c>
      <c r="I113" s="49" t="s">
        <v>195</v>
      </c>
      <c r="J113" s="5" t="str">
        <f>INDEX('Nike pace chart'!$BO$9:$BO$16,MATCH('Nike training program_21k'!I113,'Nike pace chart'!$BY$9:$BY$16,0))</f>
        <v>04:37</v>
      </c>
      <c r="K113" s="99">
        <f>INDEX('Nike pace chart'!$BV$9:$BV$16,MATCH(I113,'Nike pace chart'!$BY$9:$BY$16,0))/1000*((_xlfn.TEXTBEFORE(L113,":")+_xlfn.TEXTAFTER(L113,":")/60))</f>
        <v>0.66</v>
      </c>
      <c r="L113" s="28" t="s">
        <v>235</v>
      </c>
      <c r="M113" s="5"/>
      <c r="N113" s="27"/>
      <c r="O113" s="5"/>
      <c r="P113" s="27"/>
      <c r="Q113" s="28"/>
      <c r="R113" s="5">
        <v>1</v>
      </c>
      <c r="S113" s="45" t="s">
        <v>241</v>
      </c>
      <c r="T113" s="5" t="str">
        <f>INDEX('Nike pace chart'!$BO$9:$BO$16,MATCH('Nike training program_21k'!S113,'Nike pace chart'!$BY$9:$BY$16,0))</f>
        <v>04:25</v>
      </c>
      <c r="U113" s="99">
        <f>INDEX('Nike pace chart'!$BV$9:$BV$16,MATCH(S113,'Nike pace chart'!$BY$9:$BY$16,0))/1000*((_xlfn.TEXTBEFORE(V113,":")+_xlfn.TEXTAFTER(V113,":")/60))</f>
        <v>0.23</v>
      </c>
      <c r="V113" s="28" t="s">
        <v>225</v>
      </c>
      <c r="W113" s="5"/>
      <c r="X113" s="27"/>
      <c r="Y113" s="5"/>
      <c r="Z113" s="27"/>
      <c r="AA113" s="28"/>
      <c r="AB113" s="102">
        <v>1</v>
      </c>
      <c r="AC113" s="5"/>
      <c r="AD113" s="27"/>
      <c r="AE113" s="5"/>
      <c r="AF113" s="27"/>
      <c r="AG113" s="5"/>
      <c r="AH113" s="5">
        <v>1</v>
      </c>
      <c r="AI113" s="49" t="s">
        <v>195</v>
      </c>
      <c r="AJ113" s="5" t="str">
        <f>INDEX('Nike pace chart'!$BO$9:$BO$16,MATCH('Nike training program_21k'!AI113,'Nike pace chart'!$BY$9:$BY$16,0))</f>
        <v>04:37</v>
      </c>
      <c r="AK113" s="99">
        <v>0.6</v>
      </c>
      <c r="AL113" s="28" t="s">
        <v>235</v>
      </c>
      <c r="AM113" s="5"/>
      <c r="AN113" s="27"/>
      <c r="AO113" s="5"/>
      <c r="AP113" s="27"/>
      <c r="AQ113" s="28"/>
      <c r="AR113" s="5">
        <v>1</v>
      </c>
      <c r="AS113" s="45" t="s">
        <v>241</v>
      </c>
      <c r="AT113" s="5" t="str">
        <f>INDEX('Nike pace chart'!$BO$9:$BO$16,MATCH('Nike training program_21k'!AS113,'Nike pace chart'!$BY$9:$BY$16,0))</f>
        <v>04:25</v>
      </c>
      <c r="AU113" s="99">
        <v>0.2</v>
      </c>
      <c r="AV113" s="28" t="s">
        <v>225</v>
      </c>
      <c r="AW113" s="5"/>
      <c r="AX113" s="27"/>
      <c r="AY113" s="5"/>
      <c r="AZ113" s="27"/>
      <c r="BA113" s="28"/>
    </row>
    <row r="114" spans="2:53" x14ac:dyDescent="0.25">
      <c r="B114" s="79"/>
      <c r="C114" s="5"/>
      <c r="D114" s="27"/>
      <c r="E114" s="5"/>
      <c r="F114" s="27"/>
      <c r="G114" s="5"/>
      <c r="H114" s="5"/>
      <c r="I114" s="46" t="s">
        <v>201</v>
      </c>
      <c r="J114" s="5" t="str">
        <f>INDEX('Nike pace chart'!$BO$9:$BO$16,MATCH('Nike training program_21k'!I114,'Nike pace chart'!$BY$9:$BY$16,0))</f>
        <v>05:39</v>
      </c>
      <c r="K114" s="99">
        <f>INDEX('Nike pace chart'!$BV$9:$BV$16,MATCH(I114,'Nike pace chart'!$BY$9:$BY$16,0))/1000*((_xlfn.TEXTBEFORE(L114,":")+_xlfn.TEXTAFTER(L114,":")/60))</f>
        <v>0.36</v>
      </c>
      <c r="L114" s="28" t="s">
        <v>228</v>
      </c>
      <c r="M114" s="5"/>
      <c r="N114" s="27"/>
      <c r="O114" s="5"/>
      <c r="P114" s="27"/>
      <c r="Q114" s="28"/>
      <c r="R114" s="5"/>
      <c r="S114" s="46" t="s">
        <v>201</v>
      </c>
      <c r="T114" s="5" t="str">
        <f>INDEX('Nike pace chart'!$BO$9:$BO$16,MATCH('Nike training program_21k'!S114,'Nike pace chart'!$BY$9:$BY$16,0))</f>
        <v>05:39</v>
      </c>
      <c r="U114" s="99">
        <f>INDEX('Nike pace chart'!$BV$9:$BV$16,MATCH(S114,'Nike pace chart'!$BY$9:$BY$16,0))/1000*((_xlfn.TEXTBEFORE(V114,":")+_xlfn.TEXTAFTER(V114,":")/60))</f>
        <v>0.09</v>
      </c>
      <c r="V114" s="28" t="s">
        <v>230</v>
      </c>
      <c r="W114" s="5"/>
      <c r="X114" s="27"/>
      <c r="Y114" s="5"/>
      <c r="Z114" s="27"/>
      <c r="AA114" s="28"/>
      <c r="AB114" s="102">
        <v>1</v>
      </c>
      <c r="AC114" s="5"/>
      <c r="AD114" s="27"/>
      <c r="AE114" s="5"/>
      <c r="AF114" s="27"/>
      <c r="AG114" s="5"/>
      <c r="AH114" s="5"/>
      <c r="AI114" s="46" t="s">
        <v>201</v>
      </c>
      <c r="AJ114" s="5" t="str">
        <f>INDEX('Nike pace chart'!$BO$9:$BO$16,MATCH('Nike training program_21k'!AI114,'Nike pace chart'!$BY$9:$BY$16,0))</f>
        <v>05:39</v>
      </c>
      <c r="AK114" s="99">
        <v>0.3</v>
      </c>
      <c r="AL114" s="28" t="s">
        <v>228</v>
      </c>
      <c r="AM114" s="5"/>
      <c r="AN114" s="27"/>
      <c r="AO114" s="5"/>
      <c r="AP114" s="27"/>
      <c r="AQ114" s="28"/>
      <c r="AR114" s="5"/>
      <c r="AS114" s="46" t="s">
        <v>201</v>
      </c>
      <c r="AT114" s="5" t="str">
        <f>INDEX('Nike pace chart'!$BO$9:$BO$16,MATCH('Nike training program_21k'!AS114,'Nike pace chart'!$BY$9:$BY$16,0))</f>
        <v>05:39</v>
      </c>
      <c r="AU114" s="99">
        <v>0.1</v>
      </c>
      <c r="AV114" s="28" t="s">
        <v>230</v>
      </c>
      <c r="AW114" s="5"/>
      <c r="AX114" s="27"/>
      <c r="AY114" s="5"/>
      <c r="AZ114" s="27"/>
      <c r="BA114" s="28"/>
    </row>
    <row r="115" spans="2:53" x14ac:dyDescent="0.25">
      <c r="B115" s="79"/>
      <c r="C115" s="5"/>
      <c r="D115" s="27"/>
      <c r="E115" s="5"/>
      <c r="F115" s="27"/>
      <c r="G115" s="5"/>
      <c r="H115" s="5">
        <v>4</v>
      </c>
      <c r="I115" s="45" t="s">
        <v>241</v>
      </c>
      <c r="J115" s="5" t="str">
        <f>INDEX('Nike pace chart'!$BO$9:$BO$16,MATCH('Nike training program_21k'!I115,'Nike pace chart'!$BY$9:$BY$16,0))</f>
        <v>04:25</v>
      </c>
      <c r="K115" s="99">
        <f>INDEX('Nike pace chart'!$BV$9:$BV$16,MATCH(I115,'Nike pace chart'!$BY$9:$BY$16,0))/1000*((_xlfn.TEXTBEFORE(L115,":")+_xlfn.TEXTAFTER(L115,":")/60))</f>
        <v>0.115</v>
      </c>
      <c r="L115" s="28" t="s">
        <v>230</v>
      </c>
      <c r="M115" s="5"/>
      <c r="N115" s="27"/>
      <c r="O115" s="5"/>
      <c r="P115" s="27"/>
      <c r="Q115" s="28"/>
      <c r="R115" s="5">
        <v>1</v>
      </c>
      <c r="S115" s="49" t="s">
        <v>195</v>
      </c>
      <c r="T115" s="5" t="str">
        <f>INDEX('Nike pace chart'!$BO$9:$BO$16,MATCH('Nike training program_21k'!S115,'Nike pace chart'!$BY$9:$BY$16,0))</f>
        <v>04:37</v>
      </c>
      <c r="U115" s="99">
        <f>INDEX('Nike pace chart'!$BV$9:$BV$16,MATCH(S115,'Nike pace chart'!$BY$9:$BY$16,0))/1000*((_xlfn.TEXTBEFORE(V115,":")+_xlfn.TEXTAFTER(V115,":")/60))</f>
        <v>0.66</v>
      </c>
      <c r="V115" s="28" t="s">
        <v>235</v>
      </c>
      <c r="W115" s="5"/>
      <c r="X115" s="27"/>
      <c r="Y115" s="5"/>
      <c r="Z115" s="27"/>
      <c r="AA115" s="28"/>
      <c r="AB115" s="102">
        <v>1</v>
      </c>
      <c r="AC115" s="5"/>
      <c r="AD115" s="27"/>
      <c r="AE115" s="5"/>
      <c r="AF115" s="27"/>
      <c r="AG115" s="5"/>
      <c r="AH115" s="5">
        <v>4</v>
      </c>
      <c r="AI115" s="45" t="s">
        <v>241</v>
      </c>
      <c r="AJ115" s="5" t="str">
        <f>INDEX('Nike pace chart'!$BO$9:$BO$16,MATCH('Nike training program_21k'!AI115,'Nike pace chart'!$BY$9:$BY$16,0))</f>
        <v>04:25</v>
      </c>
      <c r="AK115" s="99">
        <v>0.1</v>
      </c>
      <c r="AL115" s="28" t="s">
        <v>230</v>
      </c>
      <c r="AM115" s="5"/>
      <c r="AN115" s="27"/>
      <c r="AO115" s="5"/>
      <c r="AP115" s="27"/>
      <c r="AQ115" s="28"/>
      <c r="AR115" s="5">
        <v>1</v>
      </c>
      <c r="AS115" s="49" t="s">
        <v>195</v>
      </c>
      <c r="AT115" s="5" t="str">
        <f>INDEX('Nike pace chart'!$BO$9:$BO$16,MATCH('Nike training program_21k'!AS115,'Nike pace chart'!$BY$9:$BY$16,0))</f>
        <v>04:37</v>
      </c>
      <c r="AU115" s="99">
        <v>0.7</v>
      </c>
      <c r="AV115" s="28" t="s">
        <v>235</v>
      </c>
      <c r="AW115" s="5"/>
      <c r="AX115" s="27"/>
      <c r="AY115" s="5"/>
      <c r="AZ115" s="27"/>
      <c r="BA115" s="28"/>
    </row>
    <row r="116" spans="2:53" x14ac:dyDescent="0.25">
      <c r="B116" s="79"/>
      <c r="C116" s="5"/>
      <c r="D116" s="27"/>
      <c r="E116" s="5"/>
      <c r="F116" s="27"/>
      <c r="G116" s="5"/>
      <c r="H116" s="5"/>
      <c r="I116" s="46" t="s">
        <v>201</v>
      </c>
      <c r="J116" s="5" t="str">
        <f>INDEX('Nike pace chart'!$BO$9:$BO$16,MATCH('Nike training program_21k'!I116,'Nike pace chart'!$BY$9:$BY$16,0))</f>
        <v>05:39</v>
      </c>
      <c r="K116" s="99">
        <f>INDEX('Nike pace chart'!$BV$9:$BV$16,MATCH(I116,'Nike pace chart'!$BY$9:$BY$16,0))/1000*((_xlfn.TEXTBEFORE(L116,":")+_xlfn.TEXTAFTER(L116,":")/60))</f>
        <v>0.18</v>
      </c>
      <c r="L116" s="28" t="s">
        <v>225</v>
      </c>
      <c r="M116" s="5"/>
      <c r="N116" s="27"/>
      <c r="O116" s="5"/>
      <c r="P116" s="27"/>
      <c r="Q116" s="28"/>
      <c r="S116" s="46" t="s">
        <v>201</v>
      </c>
      <c r="T116" s="5" t="str">
        <f>INDEX('Nike pace chart'!$BO$9:$BO$16,MATCH('Nike training program_21k'!S116,'Nike pace chart'!$BY$9:$BY$16,0))</f>
        <v>05:39</v>
      </c>
      <c r="U116" s="99">
        <f>INDEX('Nike pace chart'!$BV$9:$BV$16,MATCH(S116,'Nike pace chart'!$BY$9:$BY$16,0))/1000*((_xlfn.TEXTBEFORE(V116,":")+_xlfn.TEXTAFTER(V116,":")/60))</f>
        <v>0.27</v>
      </c>
      <c r="V116" s="28" t="s">
        <v>236</v>
      </c>
      <c r="W116" s="5"/>
      <c r="X116" s="27"/>
      <c r="Y116" s="5"/>
      <c r="Z116" s="27"/>
      <c r="AA116" s="28"/>
      <c r="AB116" s="102">
        <v>1</v>
      </c>
      <c r="AC116" s="5"/>
      <c r="AD116" s="27"/>
      <c r="AE116" s="5"/>
      <c r="AF116" s="27"/>
      <c r="AG116" s="5"/>
      <c r="AH116" s="5"/>
      <c r="AI116" s="46" t="s">
        <v>201</v>
      </c>
      <c r="AJ116" s="5" t="str">
        <f>INDEX('Nike pace chart'!$BO$9:$BO$16,MATCH('Nike training program_21k'!AI116,'Nike pace chart'!$BY$9:$BY$16,0))</f>
        <v>05:39</v>
      </c>
      <c r="AK116" s="99">
        <v>0.2</v>
      </c>
      <c r="AL116" s="28" t="s">
        <v>225</v>
      </c>
      <c r="AM116" s="5"/>
      <c r="AN116" s="27"/>
      <c r="AO116" s="5"/>
      <c r="AP116" s="27"/>
      <c r="AQ116" s="28"/>
      <c r="AS116" s="46" t="s">
        <v>201</v>
      </c>
      <c r="AT116" s="5" t="str">
        <f>INDEX('Nike pace chart'!$BO$9:$BO$16,MATCH('Nike training program_21k'!AS116,'Nike pace chart'!$BY$9:$BY$16,0))</f>
        <v>05:39</v>
      </c>
      <c r="AU116" s="99">
        <v>0.3</v>
      </c>
      <c r="AV116" s="28" t="s">
        <v>236</v>
      </c>
      <c r="AW116" s="5"/>
      <c r="AX116" s="27"/>
      <c r="AY116" s="5"/>
      <c r="AZ116" s="27"/>
      <c r="BA116" s="28"/>
    </row>
    <row r="117" spans="2:53" x14ac:dyDescent="0.25">
      <c r="B117" s="79"/>
      <c r="C117" s="5"/>
      <c r="D117" s="27"/>
      <c r="E117" s="5"/>
      <c r="F117" s="27"/>
      <c r="G117" s="5"/>
      <c r="H117" s="5">
        <v>1</v>
      </c>
      <c r="I117" s="49" t="s">
        <v>195</v>
      </c>
      <c r="J117" s="5" t="str">
        <f>INDEX('Nike pace chart'!$BO$9:$BO$16,MATCH('Nike training program_21k'!I117,'Nike pace chart'!$BY$9:$BY$16,0))</f>
        <v>04:37</v>
      </c>
      <c r="K117" s="99">
        <f>INDEX('Nike pace chart'!$BV$9:$BV$16,MATCH(I117,'Nike pace chart'!$BY$9:$BY$16,0))/1000*((_xlfn.TEXTBEFORE(L117,":")+_xlfn.TEXTAFTER(L117,":")/60))</f>
        <v>0.66</v>
      </c>
      <c r="L117" s="28" t="s">
        <v>235</v>
      </c>
      <c r="M117" s="5"/>
      <c r="N117" s="27"/>
      <c r="O117" s="5"/>
      <c r="P117" s="27"/>
      <c r="Q117" s="28"/>
      <c r="R117" s="5">
        <v>1</v>
      </c>
      <c r="S117" s="48" t="s">
        <v>198</v>
      </c>
      <c r="T117" s="5" t="str">
        <f>INDEX('Nike pace chart'!$BO$9:$BO$16,MATCH('Nike training program_21k'!S117,'Nike pace chart'!$BY$9:$BY$16,0))</f>
        <v>04:46</v>
      </c>
      <c r="U117" s="99">
        <f>INDEX('Nike pace chart'!$BV$9:$BV$16,MATCH(S117,'Nike pace chart'!$BY$9:$BY$16,0))/1000*((_xlfn.TEXTBEFORE(V117,":")+_xlfn.TEXTAFTER(V117,":")/60))</f>
        <v>1.05</v>
      </c>
      <c r="V117" s="28" t="s">
        <v>227</v>
      </c>
      <c r="W117" s="5"/>
      <c r="X117" s="27"/>
      <c r="Y117" s="5"/>
      <c r="Z117" s="27"/>
      <c r="AA117" s="28"/>
      <c r="AB117" s="102">
        <v>1</v>
      </c>
      <c r="AC117" s="5"/>
      <c r="AD117" s="27"/>
      <c r="AE117" s="5"/>
      <c r="AF117" s="27"/>
      <c r="AG117" s="5"/>
      <c r="AH117" s="5">
        <v>1</v>
      </c>
      <c r="AI117" s="49" t="s">
        <v>195</v>
      </c>
      <c r="AJ117" s="5" t="str">
        <f>INDEX('Nike pace chart'!$BO$9:$BO$16,MATCH('Nike training program_21k'!AI117,'Nike pace chart'!$BY$9:$BY$16,0))</f>
        <v>04:37</v>
      </c>
      <c r="AK117" s="99">
        <v>0.6</v>
      </c>
      <c r="AL117" s="28" t="s">
        <v>235</v>
      </c>
      <c r="AM117" s="5"/>
      <c r="AN117" s="27"/>
      <c r="AO117" s="5"/>
      <c r="AP117" s="27"/>
      <c r="AQ117" s="28"/>
      <c r="AR117" s="5">
        <v>1</v>
      </c>
      <c r="AS117" s="48" t="s">
        <v>198</v>
      </c>
      <c r="AT117" s="5" t="str">
        <f>INDEX('Nike pace chart'!$BO$9:$BO$16,MATCH('Nike training program_21k'!AS117,'Nike pace chart'!$BY$9:$BY$16,0))</f>
        <v>04:46</v>
      </c>
      <c r="AU117" s="99">
        <v>1</v>
      </c>
      <c r="AV117" s="28" t="s">
        <v>227</v>
      </c>
      <c r="AW117" s="5"/>
      <c r="AX117" s="27"/>
      <c r="AY117" s="5"/>
      <c r="AZ117" s="27"/>
      <c r="BA117" s="28"/>
    </row>
    <row r="118" spans="2:53" x14ac:dyDescent="0.25">
      <c r="B118" s="79"/>
      <c r="C118" s="5"/>
      <c r="D118" s="27"/>
      <c r="E118" s="5"/>
      <c r="F118" s="27"/>
      <c r="G118" s="5"/>
      <c r="H118" s="5"/>
      <c r="I118" s="46" t="s">
        <v>201</v>
      </c>
      <c r="J118" s="5" t="str">
        <f>INDEX('Nike pace chart'!$BO$9:$BO$16,MATCH('Nike training program_21k'!I118,'Nike pace chart'!$BY$9:$BY$16,0))</f>
        <v>05:39</v>
      </c>
      <c r="K118" s="99">
        <f>INDEX('Nike pace chart'!$BV$9:$BV$16,MATCH(I118,'Nike pace chart'!$BY$9:$BY$16,0))/1000*((_xlfn.TEXTBEFORE(L118,":")+_xlfn.TEXTAFTER(L118,":")/60))</f>
        <v>0.36</v>
      </c>
      <c r="L118" s="28" t="s">
        <v>228</v>
      </c>
      <c r="M118" s="5"/>
      <c r="N118" s="27"/>
      <c r="O118" s="5"/>
      <c r="P118" s="27"/>
      <c r="Q118" s="28"/>
      <c r="S118" s="46" t="s">
        <v>201</v>
      </c>
      <c r="T118" s="5" t="str">
        <f>INDEX('Nike pace chart'!$BO$9:$BO$16,MATCH('Nike training program_21k'!S118,'Nike pace chart'!$BY$9:$BY$16,0))</f>
        <v>05:39</v>
      </c>
      <c r="U118" s="99">
        <f>INDEX('Nike pace chart'!$BV$9:$BV$16,MATCH(S118,'Nike pace chart'!$BY$9:$BY$16,0))/1000*((_xlfn.TEXTBEFORE(V118,":")+_xlfn.TEXTAFTER(V118,":")/60))</f>
        <v>0.44999999999999996</v>
      </c>
      <c r="V118" s="28" t="s">
        <v>240</v>
      </c>
      <c r="W118" s="5"/>
      <c r="X118" s="27"/>
      <c r="Y118" s="5"/>
      <c r="Z118" s="27"/>
      <c r="AA118" s="28"/>
      <c r="AB118" s="102">
        <v>1</v>
      </c>
      <c r="AC118" s="5"/>
      <c r="AD118" s="27"/>
      <c r="AE118" s="5"/>
      <c r="AF118" s="27"/>
      <c r="AG118" s="5"/>
      <c r="AH118" s="5"/>
      <c r="AI118" s="46" t="s">
        <v>201</v>
      </c>
      <c r="AJ118" s="5" t="str">
        <f>INDEX('Nike pace chart'!$BO$9:$BO$16,MATCH('Nike training program_21k'!AI118,'Nike pace chart'!$BY$9:$BY$16,0))</f>
        <v>05:39</v>
      </c>
      <c r="AK118" s="99">
        <v>0.3</v>
      </c>
      <c r="AL118" s="28" t="s">
        <v>228</v>
      </c>
      <c r="AM118" s="5"/>
      <c r="AN118" s="27"/>
      <c r="AO118" s="5"/>
      <c r="AP118" s="27"/>
      <c r="AQ118" s="28"/>
      <c r="AS118" s="46" t="s">
        <v>201</v>
      </c>
      <c r="AT118" s="5" t="str">
        <f>INDEX('Nike pace chart'!$BO$9:$BO$16,MATCH('Nike training program_21k'!AS118,'Nike pace chart'!$BY$9:$BY$16,0))</f>
        <v>05:39</v>
      </c>
      <c r="AU118" s="99">
        <v>1.6</v>
      </c>
      <c r="AV118" s="28" t="s">
        <v>240</v>
      </c>
      <c r="AW118" s="5"/>
      <c r="AX118" s="27"/>
      <c r="AY118" s="5"/>
      <c r="AZ118" s="27"/>
      <c r="BA118" s="28"/>
    </row>
    <row r="119" spans="2:53" x14ac:dyDescent="0.25">
      <c r="B119" s="79"/>
      <c r="C119" s="5"/>
      <c r="D119" s="27"/>
      <c r="E119" s="5"/>
      <c r="F119" s="27"/>
      <c r="G119" s="5"/>
      <c r="H119" s="5">
        <v>4</v>
      </c>
      <c r="I119" s="45" t="s">
        <v>241</v>
      </c>
      <c r="J119" s="5" t="str">
        <f>INDEX('Nike pace chart'!$BO$9:$BO$16,MATCH('Nike training program_21k'!I119,'Nike pace chart'!$BY$9:$BY$16,0))</f>
        <v>04:25</v>
      </c>
      <c r="K119" s="99">
        <f>INDEX('Nike pace chart'!$BV$9:$BV$16,MATCH(I119,'Nike pace chart'!$BY$9:$BY$16,0))/1000*((_xlfn.TEXTBEFORE(L119,":")+_xlfn.TEXTAFTER(L119,":")/60))</f>
        <v>0.115</v>
      </c>
      <c r="L119" s="28" t="s">
        <v>230</v>
      </c>
      <c r="M119" s="5"/>
      <c r="N119" s="27"/>
      <c r="O119" s="5"/>
      <c r="P119" s="27"/>
      <c r="Q119" s="28"/>
      <c r="R119" s="5">
        <v>1</v>
      </c>
      <c r="S119" s="46" t="s">
        <v>201</v>
      </c>
      <c r="T119" s="5" t="str">
        <f>INDEX('Nike pace chart'!$BO$9:$BO$16,MATCH('Nike training program_21k'!S119,'Nike pace chart'!$BY$9:$BY$16,0))</f>
        <v>05:39</v>
      </c>
      <c r="U119" s="99">
        <f>INDEX('Nike pace chart'!$BV$9:$BV$16,MATCH(S119,'Nike pace chart'!$BY$9:$BY$16,0))/1000*((_xlfn.TEXTBEFORE(V119,":")+_xlfn.TEXTAFTER(V119,":")/60))</f>
        <v>1.26</v>
      </c>
      <c r="V119" s="28" t="s">
        <v>244</v>
      </c>
      <c r="W119" s="5"/>
      <c r="X119" s="27"/>
      <c r="Y119" s="5"/>
      <c r="Z119" s="27"/>
      <c r="AA119" s="28"/>
      <c r="AB119" s="102">
        <v>1</v>
      </c>
      <c r="AC119" s="5"/>
      <c r="AD119" s="27"/>
      <c r="AE119" s="5"/>
      <c r="AF119" s="27"/>
      <c r="AG119" s="5"/>
      <c r="AH119" s="5">
        <v>4</v>
      </c>
      <c r="AI119" s="45" t="s">
        <v>241</v>
      </c>
      <c r="AJ119" s="5" t="str">
        <f>INDEX('Nike pace chart'!$BO$9:$BO$16,MATCH('Nike training program_21k'!AI119,'Nike pace chart'!$BY$9:$BY$16,0))</f>
        <v>04:25</v>
      </c>
      <c r="AK119" s="99">
        <v>0.1</v>
      </c>
      <c r="AL119" s="28" t="s">
        <v>230</v>
      </c>
      <c r="AM119" s="5"/>
      <c r="AN119" s="27"/>
      <c r="AO119" s="5"/>
      <c r="AP119" s="27"/>
      <c r="AQ119" s="28"/>
      <c r="AR119" s="5"/>
      <c r="AS119" s="27"/>
      <c r="AT119" s="5"/>
      <c r="AU119" s="99"/>
      <c r="AV119" s="28"/>
      <c r="AW119" s="5"/>
      <c r="AX119" s="27"/>
      <c r="AY119" s="5"/>
      <c r="AZ119" s="27"/>
      <c r="BA119" s="28"/>
    </row>
    <row r="120" spans="2:53" x14ac:dyDescent="0.25">
      <c r="B120" s="79"/>
      <c r="C120" s="5"/>
      <c r="D120" s="27"/>
      <c r="E120" s="5"/>
      <c r="F120" s="27"/>
      <c r="G120" s="5"/>
      <c r="H120" s="5"/>
      <c r="I120" s="46" t="s">
        <v>201</v>
      </c>
      <c r="J120" s="5" t="str">
        <f>INDEX('Nike pace chart'!$BO$9:$BO$16,MATCH('Nike training program_21k'!I120,'Nike pace chart'!$BY$9:$BY$16,0))</f>
        <v>05:39</v>
      </c>
      <c r="K120" s="99">
        <f>INDEX('Nike pace chart'!$BV$9:$BV$16,MATCH(I120,'Nike pace chart'!$BY$9:$BY$16,0))/1000*((_xlfn.TEXTBEFORE(L120,":")+_xlfn.TEXTAFTER(L120,":")/60))</f>
        <v>0.18</v>
      </c>
      <c r="L120" s="28" t="s">
        <v>225</v>
      </c>
      <c r="M120" s="5"/>
      <c r="N120" s="27"/>
      <c r="O120" s="5"/>
      <c r="P120" s="27"/>
      <c r="Q120" s="28"/>
      <c r="R120" s="5"/>
      <c r="S120" s="27"/>
      <c r="T120" s="5"/>
      <c r="U120" s="27"/>
      <c r="V120" s="28"/>
      <c r="W120" s="5"/>
      <c r="X120" s="27"/>
      <c r="Y120" s="5"/>
      <c r="Z120" s="27"/>
      <c r="AA120" s="28"/>
      <c r="AB120" s="102">
        <v>1</v>
      </c>
      <c r="AC120" s="5"/>
      <c r="AD120" s="27"/>
      <c r="AE120" s="5"/>
      <c r="AF120" s="27"/>
      <c r="AG120" s="5"/>
      <c r="AH120" s="5"/>
      <c r="AI120" s="46" t="s">
        <v>201</v>
      </c>
      <c r="AJ120" s="5" t="str">
        <f>INDEX('Nike pace chart'!$BO$9:$BO$16,MATCH('Nike training program_21k'!AI120,'Nike pace chart'!$BY$9:$BY$16,0))</f>
        <v>05:39</v>
      </c>
      <c r="AK120" s="99">
        <v>0.2</v>
      </c>
      <c r="AL120" s="28" t="s">
        <v>225</v>
      </c>
      <c r="AM120" s="5"/>
      <c r="AN120" s="27"/>
      <c r="AO120" s="5"/>
      <c r="AP120" s="27"/>
      <c r="AQ120" s="28"/>
      <c r="AR120" s="5"/>
      <c r="AS120" s="27"/>
      <c r="AT120" s="5"/>
      <c r="AU120" s="99"/>
      <c r="AV120" s="28"/>
      <c r="AW120" s="5"/>
      <c r="AX120" s="27"/>
      <c r="AY120" s="5"/>
      <c r="AZ120" s="27"/>
      <c r="BA120" s="28"/>
    </row>
    <row r="121" spans="2:53" x14ac:dyDescent="0.25">
      <c r="B121" s="79"/>
      <c r="C121" s="5"/>
      <c r="D121" s="27"/>
      <c r="E121" s="5"/>
      <c r="F121" s="27"/>
      <c r="G121" s="5"/>
      <c r="H121" s="5">
        <v>1</v>
      </c>
      <c r="I121" s="49" t="s">
        <v>195</v>
      </c>
      <c r="J121" s="5" t="str">
        <f>INDEX('Nike pace chart'!$BO$9:$BO$16,MATCH('Nike training program_21k'!I121,'Nike pace chart'!$BY$9:$BY$16,0))</f>
        <v>04:37</v>
      </c>
      <c r="K121" s="99">
        <f>INDEX('Nike pace chart'!$BV$9:$BV$16,MATCH(I121,'Nike pace chart'!$BY$9:$BY$16,0))/1000*((_xlfn.TEXTBEFORE(L121,":")+_xlfn.TEXTAFTER(L121,":")/60))</f>
        <v>0.66</v>
      </c>
      <c r="L121" s="28" t="s">
        <v>235</v>
      </c>
      <c r="M121" s="5"/>
      <c r="N121" s="27"/>
      <c r="O121" s="5"/>
      <c r="P121" s="27"/>
      <c r="Q121" s="28"/>
      <c r="R121" s="5"/>
      <c r="S121" s="27"/>
      <c r="T121" s="5"/>
      <c r="U121" s="27"/>
      <c r="V121" s="28"/>
      <c r="W121" s="5"/>
      <c r="X121" s="27"/>
      <c r="Y121" s="5"/>
      <c r="Z121" s="27"/>
      <c r="AA121" s="28"/>
      <c r="AB121" s="102">
        <v>1</v>
      </c>
      <c r="AC121" s="5"/>
      <c r="AD121" s="27"/>
      <c r="AE121" s="5"/>
      <c r="AF121" s="27"/>
      <c r="AG121" s="5"/>
      <c r="AH121" s="5">
        <v>1</v>
      </c>
      <c r="AI121" s="49" t="s">
        <v>195</v>
      </c>
      <c r="AJ121" s="5" t="str">
        <f>INDEX('Nike pace chart'!$BO$9:$BO$16,MATCH('Nike training program_21k'!AI121,'Nike pace chart'!$BY$9:$BY$16,0))</f>
        <v>04:37</v>
      </c>
      <c r="AK121" s="99">
        <v>0.6</v>
      </c>
      <c r="AL121" s="28" t="s">
        <v>235</v>
      </c>
      <c r="AM121" s="5"/>
      <c r="AN121" s="27"/>
      <c r="AO121" s="5"/>
      <c r="AP121" s="27"/>
      <c r="AQ121" s="28"/>
      <c r="AR121" s="5"/>
      <c r="AS121" s="27"/>
      <c r="AT121" s="5"/>
      <c r="AU121" s="99"/>
      <c r="AV121" s="28"/>
      <c r="AW121" s="5"/>
      <c r="AX121" s="27"/>
      <c r="AY121" s="5"/>
      <c r="AZ121" s="27"/>
      <c r="BA121" s="28"/>
    </row>
    <row r="122" spans="2:53" x14ac:dyDescent="0.25">
      <c r="B122" s="79"/>
      <c r="C122" s="5"/>
      <c r="D122" s="27"/>
      <c r="E122" s="5"/>
      <c r="F122" s="27"/>
      <c r="G122" s="5"/>
      <c r="H122" s="5"/>
      <c r="I122" s="46" t="s">
        <v>201</v>
      </c>
      <c r="J122" s="5" t="str">
        <f>INDEX('Nike pace chart'!$BO$9:$BO$16,MATCH('Nike training program_21k'!I122,'Nike pace chart'!$BY$9:$BY$16,0))</f>
        <v>05:39</v>
      </c>
      <c r="K122" s="99">
        <f>INDEX('Nike pace chart'!$BV$9:$BV$16,MATCH(I122,'Nike pace chart'!$BY$9:$BY$16,0))/1000*((_xlfn.TEXTBEFORE(L122,":")+_xlfn.TEXTAFTER(L122,":")/60))</f>
        <v>0.36</v>
      </c>
      <c r="L122" s="28" t="s">
        <v>228</v>
      </c>
      <c r="M122" s="5"/>
      <c r="N122" s="27"/>
      <c r="O122" s="5"/>
      <c r="P122" s="27"/>
      <c r="Q122" s="28"/>
      <c r="R122" s="5"/>
      <c r="S122" s="27"/>
      <c r="T122" s="5"/>
      <c r="U122" s="27"/>
      <c r="V122" s="28"/>
      <c r="W122" s="5"/>
      <c r="X122" s="27"/>
      <c r="Y122" s="5"/>
      <c r="Z122" s="27"/>
      <c r="AA122" s="28"/>
      <c r="AB122" s="102">
        <v>1</v>
      </c>
      <c r="AC122" s="5"/>
      <c r="AD122" s="27"/>
      <c r="AE122" s="5"/>
      <c r="AF122" s="27"/>
      <c r="AG122" s="5"/>
      <c r="AH122" s="5"/>
      <c r="AI122" s="46" t="s">
        <v>201</v>
      </c>
      <c r="AJ122" s="5" t="str">
        <f>INDEX('Nike pace chart'!$BO$9:$BO$16,MATCH('Nike training program_21k'!AI122,'Nike pace chart'!$BY$9:$BY$16,0))</f>
        <v>05:39</v>
      </c>
      <c r="AK122" s="99">
        <v>0.3</v>
      </c>
      <c r="AL122" s="28" t="s">
        <v>228</v>
      </c>
      <c r="AM122" s="5"/>
      <c r="AN122" s="27"/>
      <c r="AO122" s="5"/>
      <c r="AP122" s="27"/>
      <c r="AQ122" s="28"/>
      <c r="AR122" s="5"/>
      <c r="AS122" s="27"/>
      <c r="AT122" s="5"/>
      <c r="AU122" s="99"/>
      <c r="AV122" s="28"/>
      <c r="AW122" s="5"/>
      <c r="AX122" s="27"/>
      <c r="AY122" s="5"/>
      <c r="AZ122" s="27"/>
      <c r="BA122" s="28"/>
    </row>
    <row r="123" spans="2:53" x14ac:dyDescent="0.25">
      <c r="B123" s="79"/>
      <c r="C123" s="5"/>
      <c r="D123" s="27"/>
      <c r="E123" s="5"/>
      <c r="F123" s="27"/>
      <c r="G123" s="5"/>
      <c r="H123" s="5">
        <v>4</v>
      </c>
      <c r="I123" s="45" t="s">
        <v>241</v>
      </c>
      <c r="J123" s="5" t="str">
        <f>INDEX('Nike pace chart'!$BO$9:$BO$16,MATCH('Nike training program_21k'!I123,'Nike pace chart'!$BY$9:$BY$16,0))</f>
        <v>04:25</v>
      </c>
      <c r="K123" s="99">
        <f>INDEX('Nike pace chart'!$BV$9:$BV$16,MATCH(I123,'Nike pace chart'!$BY$9:$BY$16,0))/1000*((_xlfn.TEXTBEFORE(L123,":")+_xlfn.TEXTAFTER(L123,":")/60))</f>
        <v>0.115</v>
      </c>
      <c r="L123" s="28" t="s">
        <v>230</v>
      </c>
      <c r="M123" s="5"/>
      <c r="N123" s="27"/>
      <c r="O123" s="5"/>
      <c r="P123" s="27"/>
      <c r="Q123" s="28"/>
      <c r="R123" s="5"/>
      <c r="S123" s="27"/>
      <c r="T123" s="5"/>
      <c r="U123" s="27"/>
      <c r="V123" s="28"/>
      <c r="W123" s="5"/>
      <c r="X123" s="27"/>
      <c r="Y123" s="5"/>
      <c r="Z123" s="27"/>
      <c r="AA123" s="28"/>
      <c r="AB123" s="102">
        <v>1</v>
      </c>
      <c r="AC123" s="5"/>
      <c r="AD123" s="27"/>
      <c r="AE123" s="5"/>
      <c r="AF123" s="27"/>
      <c r="AG123" s="5"/>
      <c r="AH123" s="5">
        <v>4</v>
      </c>
      <c r="AI123" s="45" t="s">
        <v>241</v>
      </c>
      <c r="AJ123" s="5" t="str">
        <f>INDEX('Nike pace chart'!$BO$9:$BO$16,MATCH('Nike training program_21k'!AI123,'Nike pace chart'!$BY$9:$BY$16,0))</f>
        <v>04:25</v>
      </c>
      <c r="AK123" s="99">
        <v>0.1</v>
      </c>
      <c r="AL123" s="28" t="s">
        <v>230</v>
      </c>
      <c r="AM123" s="5"/>
      <c r="AN123" s="27"/>
      <c r="AO123" s="5"/>
      <c r="AP123" s="27"/>
      <c r="AQ123" s="28"/>
      <c r="AR123" s="5"/>
      <c r="AS123" s="27"/>
      <c r="AT123" s="5"/>
      <c r="AU123" s="99"/>
      <c r="AV123" s="28"/>
      <c r="AW123" s="5"/>
      <c r="AX123" s="27"/>
      <c r="AY123" s="5"/>
      <c r="AZ123" s="27"/>
      <c r="BA123" s="28"/>
    </row>
    <row r="124" spans="2:53" x14ac:dyDescent="0.25">
      <c r="B124" s="79"/>
      <c r="C124" s="5"/>
      <c r="D124" s="27"/>
      <c r="E124" s="5"/>
      <c r="F124" s="27"/>
      <c r="G124" s="5"/>
      <c r="H124" s="5"/>
      <c r="I124" s="46" t="s">
        <v>201</v>
      </c>
      <c r="J124" s="5" t="str">
        <f>INDEX('Nike pace chart'!$BO$9:$BO$16,MATCH('Nike training program_21k'!I124,'Nike pace chart'!$BY$9:$BY$16,0))</f>
        <v>05:39</v>
      </c>
      <c r="K124" s="99">
        <f>INDEX('Nike pace chart'!$BV$9:$BV$16,MATCH(I124,'Nike pace chart'!$BY$9:$BY$16,0))/1000*((_xlfn.TEXTBEFORE(L124,":")+_xlfn.TEXTAFTER(L124,":")/60))</f>
        <v>0.18</v>
      </c>
      <c r="L124" s="28" t="s">
        <v>225</v>
      </c>
      <c r="M124" s="5"/>
      <c r="N124" s="27"/>
      <c r="O124" s="5"/>
      <c r="P124" s="27"/>
      <c r="Q124" s="28"/>
      <c r="R124" s="5"/>
      <c r="S124" s="27"/>
      <c r="T124" s="5"/>
      <c r="U124" s="27"/>
      <c r="V124" s="28"/>
      <c r="W124" s="5"/>
      <c r="X124" s="27"/>
      <c r="Y124" s="5"/>
      <c r="Z124" s="27"/>
      <c r="AA124" s="28"/>
      <c r="AB124" s="102">
        <v>1</v>
      </c>
      <c r="AC124" s="5"/>
      <c r="AD124" s="27"/>
      <c r="AE124" s="5"/>
      <c r="AF124" s="27"/>
      <c r="AG124" s="5"/>
      <c r="AH124" s="5"/>
      <c r="AI124" s="46" t="s">
        <v>201</v>
      </c>
      <c r="AJ124" s="5" t="str">
        <f>INDEX('Nike pace chart'!$BO$9:$BO$16,MATCH('Nike training program_21k'!AI124,'Nike pace chart'!$BY$9:$BY$16,0))</f>
        <v>05:39</v>
      </c>
      <c r="AK124" s="99">
        <v>0.2</v>
      </c>
      <c r="AL124" s="28" t="s">
        <v>225</v>
      </c>
      <c r="AM124" s="5"/>
      <c r="AN124" s="27"/>
      <c r="AO124" s="5"/>
      <c r="AP124" s="27"/>
      <c r="AQ124" s="28"/>
      <c r="AR124" s="5"/>
      <c r="AS124" s="27"/>
      <c r="AT124" s="5"/>
      <c r="AU124" s="99"/>
      <c r="AV124" s="28"/>
      <c r="AW124" s="5"/>
      <c r="AX124" s="27"/>
      <c r="AY124" s="5"/>
      <c r="AZ124" s="27"/>
      <c r="BA124" s="28"/>
    </row>
    <row r="125" spans="2:53" x14ac:dyDescent="0.25">
      <c r="B125" s="4" t="s">
        <v>254</v>
      </c>
      <c r="C125" s="5">
        <v>1</v>
      </c>
      <c r="D125" s="46" t="s">
        <v>201</v>
      </c>
      <c r="E125" s="5" t="str">
        <f>INDEX('Nike pace chart'!$BO$9:$BO$16,MATCH('Nike training program_21k'!D125,'Nike pace chart'!$BY$9:$BY$16,0))</f>
        <v>05:39</v>
      </c>
      <c r="F125" s="99">
        <f>INDEX('Nike pace chart'!$BV$9:$BV$16,MATCH(D125,'Nike pace chart'!$BY$9:$BY$16,0))/1000*((_xlfn.TEXTBEFORE(G125,":")+_xlfn.TEXTAFTER(G125,":")/60))</f>
        <v>2.6999999999999997</v>
      </c>
      <c r="G125" s="28" t="s">
        <v>233</v>
      </c>
      <c r="H125" s="5">
        <v>1</v>
      </c>
      <c r="I125" s="27" t="s">
        <v>255</v>
      </c>
      <c r="J125" s="5" t="s">
        <v>223</v>
      </c>
      <c r="K125" s="99"/>
      <c r="L125" s="28" t="s">
        <v>227</v>
      </c>
      <c r="M125" s="5">
        <v>1</v>
      </c>
      <c r="N125" s="46" t="s">
        <v>201</v>
      </c>
      <c r="O125" s="5" t="str">
        <f>INDEX('Nike pace chart'!$BO$9:$BO$16,MATCH('Nike training program_21k'!N125,'Nike pace chart'!$BY$9:$BY$16,0))</f>
        <v>05:39</v>
      </c>
      <c r="P125" s="99">
        <f>INDEX('Nike pace chart'!$BV$9:$BV$16,MATCH(N125,'Nike pace chart'!$BY$9:$BY$16,0))/1000*((_xlfn.TEXTBEFORE(Q125,":")+_xlfn.TEXTAFTER(Q125,":")/60))</f>
        <v>4.5</v>
      </c>
      <c r="Q125" s="28" t="s">
        <v>226</v>
      </c>
      <c r="R125" s="5">
        <v>1</v>
      </c>
      <c r="S125" s="45" t="s">
        <v>241</v>
      </c>
      <c r="T125" s="5" t="str">
        <f>INDEX('Nike pace chart'!$BO$9:$BO$16,MATCH('Nike training program_21k'!S125,'Nike pace chart'!$BY$9:$BY$16,0))</f>
        <v>04:25</v>
      </c>
      <c r="U125" s="27">
        <v>3.2</v>
      </c>
      <c r="V125" s="28" t="s">
        <v>223</v>
      </c>
      <c r="W125" s="5">
        <v>1</v>
      </c>
      <c r="X125" s="45" t="s">
        <v>241</v>
      </c>
      <c r="Y125" s="5" t="str">
        <f>INDEX('Nike pace chart'!$BO$9:$BO$16,MATCH('Nike training program_21k'!X125,'Nike pace chart'!$BY$9:$BY$16,0))</f>
        <v>04:25</v>
      </c>
      <c r="Z125" s="27">
        <v>21.1</v>
      </c>
      <c r="AA125" s="28" t="s">
        <v>223</v>
      </c>
      <c r="AB125" s="102">
        <v>1</v>
      </c>
      <c r="AC125" s="5">
        <v>1</v>
      </c>
      <c r="AD125" s="46" t="s">
        <v>201</v>
      </c>
      <c r="AE125" s="5" t="str">
        <f>INDEX('Nike pace chart'!$BO$9:$BO$16,MATCH('Nike training program_21k'!AD125,'Nike pace chart'!$BY$9:$BY$16,0))</f>
        <v>05:39</v>
      </c>
      <c r="AF125" s="27">
        <v>2.6</v>
      </c>
      <c r="AG125" s="28" t="s">
        <v>233</v>
      </c>
      <c r="AH125" s="5">
        <v>1</v>
      </c>
      <c r="AI125" s="27" t="s">
        <v>255</v>
      </c>
      <c r="AJ125" s="5" t="s">
        <v>223</v>
      </c>
      <c r="AK125" s="99"/>
      <c r="AL125" s="28" t="s">
        <v>227</v>
      </c>
      <c r="AM125" s="5">
        <v>1</v>
      </c>
      <c r="AN125" s="46" t="s">
        <v>201</v>
      </c>
      <c r="AO125" s="5" t="str">
        <f>INDEX('Nike pace chart'!$BO$9:$BO$16,MATCH('Nike training program_21k'!AN125,'Nike pace chart'!$BY$9:$BY$16,0))</f>
        <v>05:39</v>
      </c>
      <c r="AP125" s="27">
        <v>4</v>
      </c>
      <c r="AQ125" s="28" t="s">
        <v>226</v>
      </c>
      <c r="AR125" s="5">
        <v>1</v>
      </c>
      <c r="AS125" s="45" t="s">
        <v>241</v>
      </c>
      <c r="AT125" s="5" t="str">
        <f>INDEX('Nike pace chart'!$BO$9:$BO$16,MATCH('Nike training program_21k'!AS125,'Nike pace chart'!$BY$9:$BY$16,0))</f>
        <v>04:25</v>
      </c>
      <c r="AU125" s="99">
        <v>3.2</v>
      </c>
      <c r="AV125" s="28" t="s">
        <v>223</v>
      </c>
      <c r="AW125" s="5">
        <v>1</v>
      </c>
      <c r="AX125" s="45" t="s">
        <v>241</v>
      </c>
      <c r="AY125" s="5"/>
      <c r="AZ125" s="27">
        <v>21.1</v>
      </c>
      <c r="BA125" s="28" t="s">
        <v>223</v>
      </c>
    </row>
    <row r="126" spans="2:53" x14ac:dyDescent="0.25">
      <c r="B126" s="79"/>
      <c r="C126" s="5"/>
      <c r="D126" s="27"/>
      <c r="E126" s="5"/>
      <c r="F126" s="27"/>
      <c r="G126" s="5"/>
      <c r="H126" s="5">
        <v>1</v>
      </c>
      <c r="I126" s="49" t="s">
        <v>195</v>
      </c>
      <c r="J126" s="5" t="str">
        <f>INDEX('Nike pace chart'!$BO$9:$BO$16,MATCH('Nike training program_21k'!I126,'Nike pace chart'!$BY$9:$BY$16,0))</f>
        <v>04:37</v>
      </c>
      <c r="K126" s="99">
        <f>INDEX('Nike pace chart'!$BV$9:$BV$16,MATCH(I126,'Nike pace chart'!$BY$9:$BY$16,0))/1000*((_xlfn.TEXTBEFORE(L126,":")+_xlfn.TEXTAFTER(L126,":")/60))</f>
        <v>0.22</v>
      </c>
      <c r="L126" s="28" t="s">
        <v>225</v>
      </c>
      <c r="M126" s="5"/>
      <c r="N126" s="27"/>
      <c r="O126" s="5"/>
      <c r="P126" s="27"/>
      <c r="Q126" s="28"/>
      <c r="R126" s="5"/>
      <c r="S126" s="27"/>
      <c r="T126" s="5"/>
      <c r="U126" s="27"/>
      <c r="V126" s="28"/>
      <c r="W126" s="5"/>
      <c r="X126" s="27"/>
      <c r="Y126" s="5"/>
      <c r="Z126" s="27"/>
      <c r="AA126" s="28"/>
      <c r="AB126" s="102">
        <v>1</v>
      </c>
      <c r="AC126" s="5"/>
      <c r="AD126" s="27"/>
      <c r="AE126" s="5"/>
      <c r="AF126" s="27"/>
      <c r="AG126" s="5"/>
      <c r="AH126" s="5">
        <v>1</v>
      </c>
      <c r="AI126" s="49" t="s">
        <v>195</v>
      </c>
      <c r="AJ126" s="5" t="str">
        <f>INDEX('Nike pace chart'!$BO$9:$BO$16,MATCH('Nike training program_21k'!AI126,'Nike pace chart'!$BY$9:$BY$16,0))</f>
        <v>04:37</v>
      </c>
      <c r="AK126" s="99">
        <v>0.2</v>
      </c>
      <c r="AL126" s="28" t="s">
        <v>225</v>
      </c>
      <c r="AM126" s="5"/>
      <c r="AN126" s="27"/>
      <c r="AO126" s="5"/>
      <c r="AP126" s="27"/>
      <c r="AQ126" s="28"/>
      <c r="AR126" s="5"/>
      <c r="AS126" s="27"/>
      <c r="AT126" s="5"/>
      <c r="AU126" s="99"/>
      <c r="AV126" s="28"/>
      <c r="AW126" s="5"/>
      <c r="AX126" s="27"/>
      <c r="AY126" s="5"/>
      <c r="AZ126" s="27"/>
      <c r="BA126" s="28"/>
    </row>
    <row r="127" spans="2:53" x14ac:dyDescent="0.25">
      <c r="B127" s="79"/>
      <c r="C127" s="5"/>
      <c r="D127" s="27"/>
      <c r="E127" s="5"/>
      <c r="F127" s="27"/>
      <c r="G127" s="5"/>
      <c r="H127" s="5"/>
      <c r="I127" s="46" t="s">
        <v>201</v>
      </c>
      <c r="J127" s="5" t="str">
        <f>INDEX('Nike pace chart'!$BO$9:$BO$16,MATCH('Nike training program_21k'!I127,'Nike pace chart'!$BY$9:$BY$16,0))</f>
        <v>05:39</v>
      </c>
      <c r="K127" s="99">
        <f>INDEX('Nike pace chart'!$BV$9:$BV$16,MATCH(I127,'Nike pace chart'!$BY$9:$BY$16,0))/1000*((_xlfn.TEXTBEFORE(L127,":")+_xlfn.TEXTAFTER(L127,":")/60))</f>
        <v>0.18</v>
      </c>
      <c r="L127" s="28" t="s">
        <v>225</v>
      </c>
      <c r="M127" s="5"/>
      <c r="N127" s="27"/>
      <c r="O127" s="5"/>
      <c r="P127" s="27"/>
      <c r="Q127" s="28"/>
      <c r="R127" s="5"/>
      <c r="S127" s="27"/>
      <c r="T127" s="5"/>
      <c r="U127" s="27"/>
      <c r="V127" s="28"/>
      <c r="W127" s="5"/>
      <c r="X127" s="27"/>
      <c r="Y127" s="5"/>
      <c r="Z127" s="27"/>
      <c r="AA127" s="28"/>
      <c r="AB127" s="128">
        <v>1</v>
      </c>
      <c r="AC127" s="5"/>
      <c r="AD127" s="27"/>
      <c r="AE127" s="5"/>
      <c r="AF127" s="27"/>
      <c r="AG127" s="5"/>
      <c r="AH127" s="5"/>
      <c r="AI127" s="46" t="s">
        <v>201</v>
      </c>
      <c r="AJ127" s="5" t="str">
        <f>INDEX('Nike pace chart'!$BO$9:$BO$16,MATCH('Nike training program_21k'!AI127,'Nike pace chart'!$BY$9:$BY$16,0))</f>
        <v>05:39</v>
      </c>
      <c r="AK127" s="99">
        <v>0.2</v>
      </c>
      <c r="AL127" s="28" t="s">
        <v>225</v>
      </c>
      <c r="AM127" s="5"/>
      <c r="AN127" s="27"/>
      <c r="AO127" s="5"/>
      <c r="AP127" s="27"/>
      <c r="AQ127" s="28"/>
      <c r="AR127" s="5"/>
      <c r="AS127" s="27"/>
      <c r="AT127" s="5"/>
      <c r="AU127" s="99"/>
      <c r="AV127" s="28"/>
      <c r="AW127" s="5"/>
      <c r="AX127" s="27"/>
      <c r="AY127" s="5"/>
      <c r="AZ127" s="27"/>
      <c r="BA127" s="28"/>
    </row>
    <row r="128" spans="2:53" x14ac:dyDescent="0.25">
      <c r="B128" s="79"/>
      <c r="C128" s="5"/>
      <c r="D128" s="27"/>
      <c r="E128" s="5"/>
      <c r="F128" s="27"/>
      <c r="G128" s="5"/>
      <c r="H128" s="5"/>
      <c r="I128" s="48" t="s">
        <v>198</v>
      </c>
      <c r="J128" s="5" t="str">
        <f>INDEX('Nike pace chart'!$BO$9:$BO$16,MATCH('Nike training program_21k'!I128,'Nike pace chart'!$BY$9:$BY$16,0))</f>
        <v>04:46</v>
      </c>
      <c r="K128" s="99">
        <f>INDEX('Nike pace chart'!$BV$9:$BV$16,MATCH(I128,'Nike pace chart'!$BY$9:$BY$16,0))/1000*((_xlfn.TEXTBEFORE(L128,":")+_xlfn.TEXTAFTER(L128,":")/60))</f>
        <v>0.42</v>
      </c>
      <c r="L128" s="28" t="s">
        <v>228</v>
      </c>
      <c r="M128" s="5"/>
      <c r="N128" s="27"/>
      <c r="O128" s="5"/>
      <c r="P128" s="27"/>
      <c r="Q128" s="28"/>
      <c r="R128" s="5"/>
      <c r="S128" s="27"/>
      <c r="T128" s="5"/>
      <c r="U128" s="27"/>
      <c r="V128" s="28"/>
      <c r="W128" s="5"/>
      <c r="X128" s="27"/>
      <c r="Y128" s="5"/>
      <c r="Z128" s="27"/>
      <c r="AA128" s="28"/>
      <c r="AB128" s="102">
        <v>1</v>
      </c>
      <c r="AC128" s="5"/>
      <c r="AD128" s="27"/>
      <c r="AE128" s="5"/>
      <c r="AF128" s="27"/>
      <c r="AG128" s="5"/>
      <c r="AH128" s="5"/>
      <c r="AI128" s="48" t="s">
        <v>198</v>
      </c>
      <c r="AJ128" s="5" t="str">
        <f>INDEX('Nike pace chart'!$BO$9:$BO$16,MATCH('Nike training program_21k'!AI128,'Nike pace chart'!$BY$9:$BY$16,0))</f>
        <v>04:46</v>
      </c>
      <c r="AK128" s="99">
        <v>0.45</v>
      </c>
      <c r="AL128" s="28" t="s">
        <v>228</v>
      </c>
      <c r="AM128" s="5"/>
      <c r="AN128" s="27"/>
      <c r="AO128" s="5"/>
      <c r="AP128" s="27"/>
      <c r="AQ128" s="28"/>
      <c r="AR128" s="5"/>
      <c r="AS128" s="27"/>
      <c r="AT128" s="5"/>
      <c r="AU128" s="99"/>
      <c r="AV128" s="28"/>
      <c r="AW128" s="5"/>
      <c r="AX128" s="27"/>
      <c r="AY128" s="5"/>
      <c r="AZ128" s="27"/>
      <c r="BA128" s="28"/>
    </row>
    <row r="129" spans="2:53" x14ac:dyDescent="0.25">
      <c r="B129" s="79"/>
      <c r="C129" s="5"/>
      <c r="D129" s="27"/>
      <c r="E129" s="5"/>
      <c r="F129" s="27"/>
      <c r="G129" s="5"/>
      <c r="H129" s="5"/>
      <c r="I129" s="46" t="s">
        <v>201</v>
      </c>
      <c r="J129" s="5" t="str">
        <f>INDEX('Nike pace chart'!$BO$9:$BO$16,MATCH('Nike training program_21k'!I129,'Nike pace chart'!$BY$9:$BY$16,0))</f>
        <v>05:39</v>
      </c>
      <c r="K129" s="99">
        <f>INDEX('Nike pace chart'!$BV$9:$BV$16,MATCH(I129,'Nike pace chart'!$BY$9:$BY$16,0))/1000*((_xlfn.TEXTBEFORE(L129,":")+_xlfn.TEXTAFTER(L129,":")/60))</f>
        <v>0.18</v>
      </c>
      <c r="L129" s="28" t="s">
        <v>225</v>
      </c>
      <c r="M129" s="5"/>
      <c r="N129" s="27"/>
      <c r="O129" s="5"/>
      <c r="P129" s="27"/>
      <c r="Q129" s="28"/>
      <c r="S129" s="27"/>
      <c r="T129" s="5"/>
      <c r="U129" s="27"/>
      <c r="V129" s="28"/>
      <c r="W129" s="5"/>
      <c r="X129" s="27"/>
      <c r="Y129" s="5"/>
      <c r="Z129" s="27"/>
      <c r="AA129" s="28"/>
      <c r="AB129" s="102">
        <v>1</v>
      </c>
      <c r="AC129" s="5"/>
      <c r="AD129" s="27"/>
      <c r="AE129" s="5"/>
      <c r="AF129" s="27"/>
      <c r="AG129" s="5"/>
      <c r="AH129" s="5"/>
      <c r="AI129" s="46" t="s">
        <v>201</v>
      </c>
      <c r="AJ129" s="5" t="str">
        <f>INDEX('Nike pace chart'!$BO$9:$BO$16,MATCH('Nike training program_21k'!AI129,'Nike pace chart'!$BY$9:$BY$16,0))</f>
        <v>05:39</v>
      </c>
      <c r="AK129" s="99">
        <v>0.15</v>
      </c>
      <c r="AL129" s="28" t="s">
        <v>225</v>
      </c>
      <c r="AM129" s="5"/>
      <c r="AN129" s="27"/>
      <c r="AO129" s="5"/>
      <c r="AP129" s="27"/>
      <c r="AQ129" s="28"/>
      <c r="AS129" s="27"/>
      <c r="AT129" s="5"/>
      <c r="AU129" s="99"/>
      <c r="AV129" s="28"/>
      <c r="AW129" s="5"/>
      <c r="AX129" s="27"/>
      <c r="AY129" s="5"/>
      <c r="AZ129" s="27"/>
      <c r="BA129" s="28"/>
    </row>
    <row r="130" spans="2:53" x14ac:dyDescent="0.25">
      <c r="B130" s="79"/>
      <c r="C130" s="5"/>
      <c r="D130" s="27"/>
      <c r="E130" s="5"/>
      <c r="F130" s="27"/>
      <c r="G130" s="5"/>
      <c r="H130" s="5"/>
      <c r="I130" s="52" t="s">
        <v>202</v>
      </c>
      <c r="J130" s="5" t="str">
        <f>INDEX('Nike pace chart'!$BO$9:$BO$16,MATCH('Nike training program_21k'!I130,'Nike pace chart'!$BY$9:$BY$16,0))</f>
        <v>04:59</v>
      </c>
      <c r="K130" s="99">
        <f>INDEX('Nike pace chart'!$BV$9:$BV$16,MATCH(I130,'Nike pace chart'!$BY$9:$BY$16,0))/1000*((_xlfn.TEXTBEFORE(L130,":")+_xlfn.TEXTAFTER(L130,":")/60))</f>
        <v>1</v>
      </c>
      <c r="L130" s="28" t="s">
        <v>227</v>
      </c>
      <c r="M130" s="5"/>
      <c r="N130" s="27"/>
      <c r="O130" s="5"/>
      <c r="P130" s="27"/>
      <c r="Q130" s="28"/>
      <c r="R130" s="5"/>
      <c r="S130" s="27"/>
      <c r="T130" s="5"/>
      <c r="U130" s="27"/>
      <c r="V130" s="28"/>
      <c r="W130" s="5"/>
      <c r="X130" s="27"/>
      <c r="Y130" s="5"/>
      <c r="Z130" s="27"/>
      <c r="AA130" s="28"/>
      <c r="AB130" s="102">
        <v>1</v>
      </c>
      <c r="AC130" s="5"/>
      <c r="AD130" s="27"/>
      <c r="AE130" s="5"/>
      <c r="AF130" s="27"/>
      <c r="AG130" s="5"/>
      <c r="AH130" s="5"/>
      <c r="AI130" s="52" t="s">
        <v>202</v>
      </c>
      <c r="AJ130" s="5" t="str">
        <f>INDEX('Nike pace chart'!$BO$9:$BO$16,MATCH('Nike training program_21k'!AI130,'Nike pace chart'!$BY$9:$BY$16,0))</f>
        <v>04:59</v>
      </c>
      <c r="AK130" s="99">
        <v>1</v>
      </c>
      <c r="AL130" s="28" t="s">
        <v>227</v>
      </c>
      <c r="AM130" s="5"/>
      <c r="AN130" s="27"/>
      <c r="AO130" s="5"/>
      <c r="AP130" s="27"/>
      <c r="AQ130" s="28"/>
      <c r="AR130" s="5"/>
      <c r="AS130" s="27"/>
      <c r="AT130" s="5"/>
      <c r="AU130" s="99"/>
      <c r="AV130" s="28"/>
      <c r="AW130" s="5"/>
      <c r="AX130" s="27"/>
      <c r="AY130" s="5"/>
      <c r="AZ130" s="27"/>
      <c r="BA130" s="28"/>
    </row>
    <row r="131" spans="2:53" x14ac:dyDescent="0.25">
      <c r="B131" s="79"/>
      <c r="C131" s="5"/>
      <c r="D131" s="27"/>
      <c r="E131" s="5"/>
      <c r="F131" s="27"/>
      <c r="G131" s="5"/>
      <c r="H131" s="5"/>
      <c r="I131" s="46" t="s">
        <v>201</v>
      </c>
      <c r="J131" s="5" t="str">
        <f>INDEX('Nike pace chart'!$BO$9:$BO$16,MATCH('Nike training program_21k'!I131,'Nike pace chart'!$BY$9:$BY$16,0))</f>
        <v>05:39</v>
      </c>
      <c r="K131" s="99">
        <f>INDEX('Nike pace chart'!$BV$9:$BV$16,MATCH(I131,'Nike pace chart'!$BY$9:$BY$16,0))/1000*((_xlfn.TEXTBEFORE(L131,":")+_xlfn.TEXTAFTER(L131,":")/60))</f>
        <v>0.18</v>
      </c>
      <c r="L131" s="28" t="s">
        <v>225</v>
      </c>
      <c r="M131" s="5"/>
      <c r="N131" s="27"/>
      <c r="O131" s="5"/>
      <c r="P131" s="27"/>
      <c r="Q131" s="28"/>
      <c r="S131" s="27"/>
      <c r="T131" s="5"/>
      <c r="U131" s="27"/>
      <c r="V131" s="28"/>
      <c r="W131" s="5"/>
      <c r="X131" s="27"/>
      <c r="Y131" s="5"/>
      <c r="Z131" s="27"/>
      <c r="AA131" s="28"/>
      <c r="AB131" s="102">
        <v>1</v>
      </c>
      <c r="AC131" s="5"/>
      <c r="AD131" s="27"/>
      <c r="AE131" s="5"/>
      <c r="AF131" s="27"/>
      <c r="AG131" s="5"/>
      <c r="AH131" s="5"/>
      <c r="AI131" s="46" t="s">
        <v>201</v>
      </c>
      <c r="AJ131" s="5" t="str">
        <f>INDEX('Nike pace chart'!$BO$9:$BO$16,MATCH('Nike training program_21k'!AI131,'Nike pace chart'!$BY$9:$BY$16,0))</f>
        <v>05:39</v>
      </c>
      <c r="AK131" s="99">
        <v>0.2</v>
      </c>
      <c r="AL131" s="28" t="s">
        <v>225</v>
      </c>
      <c r="AM131" s="5"/>
      <c r="AN131" s="27"/>
      <c r="AO131" s="5"/>
      <c r="AP131" s="27"/>
      <c r="AQ131" s="28"/>
      <c r="AS131" s="27"/>
      <c r="AT131" s="5"/>
      <c r="AU131" s="99"/>
      <c r="AV131" s="28"/>
      <c r="AW131" s="5"/>
      <c r="AX131" s="27"/>
      <c r="AY131" s="5"/>
      <c r="AZ131" s="27"/>
      <c r="BA131" s="28"/>
    </row>
    <row r="132" spans="2:53" x14ac:dyDescent="0.25">
      <c r="B132" s="79"/>
      <c r="C132" s="5"/>
      <c r="D132" s="27"/>
      <c r="E132" s="5"/>
      <c r="F132" s="27"/>
      <c r="G132" s="5"/>
      <c r="H132" s="5"/>
      <c r="I132" s="48" t="s">
        <v>198</v>
      </c>
      <c r="J132" s="5" t="str">
        <f>INDEX('Nike pace chart'!$BO$9:$BO$16,MATCH('Nike training program_21k'!I132,'Nike pace chart'!$BY$9:$BY$16,0))</f>
        <v>04:46</v>
      </c>
      <c r="K132" s="99">
        <f>INDEX('Nike pace chart'!$BV$9:$BV$16,MATCH(I132,'Nike pace chart'!$BY$9:$BY$16,0))/1000*((_xlfn.TEXTBEFORE(L132,":")+_xlfn.TEXTAFTER(L132,":")/60))</f>
        <v>0.42</v>
      </c>
      <c r="L132" s="28" t="s">
        <v>228</v>
      </c>
      <c r="M132" s="5"/>
      <c r="N132" s="27"/>
      <c r="O132" s="5"/>
      <c r="P132" s="27"/>
      <c r="Q132" s="28"/>
      <c r="R132" s="5"/>
      <c r="S132" s="27"/>
      <c r="T132" s="5"/>
      <c r="U132" s="27"/>
      <c r="V132" s="28"/>
      <c r="W132" s="5"/>
      <c r="X132" s="27"/>
      <c r="Y132" s="5"/>
      <c r="Z132" s="27"/>
      <c r="AA132" s="28"/>
      <c r="AB132" s="102">
        <v>1</v>
      </c>
      <c r="AC132" s="5"/>
      <c r="AD132" s="27"/>
      <c r="AE132" s="5"/>
      <c r="AF132" s="27"/>
      <c r="AG132" s="5"/>
      <c r="AH132" s="5"/>
      <c r="AI132" s="48" t="s">
        <v>198</v>
      </c>
      <c r="AJ132" s="5" t="str">
        <f>INDEX('Nike pace chart'!$BO$9:$BO$16,MATCH('Nike training program_21k'!AI132,'Nike pace chart'!$BY$9:$BY$16,0))</f>
        <v>04:46</v>
      </c>
      <c r="AK132" s="99">
        <v>0.45</v>
      </c>
      <c r="AL132" s="28" t="s">
        <v>228</v>
      </c>
      <c r="AM132" s="5"/>
      <c r="AN132" s="27"/>
      <c r="AO132" s="5"/>
      <c r="AP132" s="27"/>
      <c r="AQ132" s="28"/>
      <c r="AR132" s="5"/>
      <c r="AS132" s="27"/>
      <c r="AT132" s="5"/>
      <c r="AU132" s="99"/>
      <c r="AV132" s="28"/>
      <c r="AW132" s="5"/>
      <c r="AX132" s="27"/>
      <c r="AY132" s="5"/>
      <c r="AZ132" s="27"/>
      <c r="BA132" s="28"/>
    </row>
    <row r="133" spans="2:53" x14ac:dyDescent="0.25">
      <c r="B133" s="79"/>
      <c r="C133" s="5"/>
      <c r="D133" s="27"/>
      <c r="E133" s="5"/>
      <c r="F133" s="27"/>
      <c r="G133" s="5"/>
      <c r="H133" s="5"/>
      <c r="I133" s="46" t="s">
        <v>201</v>
      </c>
      <c r="J133" s="5" t="str">
        <f>INDEX('Nike pace chart'!$BO$9:$BO$16,MATCH('Nike training program_21k'!I133,'Nike pace chart'!$BY$9:$BY$16,0))</f>
        <v>05:39</v>
      </c>
      <c r="K133" s="99">
        <f>INDEX('Nike pace chart'!$BV$9:$BV$16,MATCH(I133,'Nike pace chart'!$BY$9:$BY$16,0))/1000*((_xlfn.TEXTBEFORE(L133,":")+_xlfn.TEXTAFTER(L133,":")/60))</f>
        <v>0.18</v>
      </c>
      <c r="L133" s="28" t="s">
        <v>225</v>
      </c>
      <c r="M133" s="5"/>
      <c r="N133" s="27"/>
      <c r="O133" s="5"/>
      <c r="P133" s="27"/>
      <c r="Q133" s="28"/>
      <c r="R133" s="5"/>
      <c r="S133" s="27"/>
      <c r="T133" s="5"/>
      <c r="U133" s="27"/>
      <c r="V133" s="28"/>
      <c r="W133" s="5"/>
      <c r="X133" s="27"/>
      <c r="Y133" s="5"/>
      <c r="Z133" s="27"/>
      <c r="AA133" s="28"/>
      <c r="AB133" s="102">
        <v>1</v>
      </c>
      <c r="AC133" s="5"/>
      <c r="AD133" s="27"/>
      <c r="AE133" s="5"/>
      <c r="AF133" s="27"/>
      <c r="AG133" s="5"/>
      <c r="AH133" s="5"/>
      <c r="AI133" s="46" t="s">
        <v>201</v>
      </c>
      <c r="AJ133" s="5" t="str">
        <f>INDEX('Nike pace chart'!$BO$9:$BO$16,MATCH('Nike training program_21k'!AI133,'Nike pace chart'!$BY$9:$BY$16,0))</f>
        <v>05:39</v>
      </c>
      <c r="AK133" s="99">
        <v>0.15</v>
      </c>
      <c r="AL133" s="28" t="s">
        <v>225</v>
      </c>
      <c r="AM133" s="5"/>
      <c r="AN133" s="27"/>
      <c r="AO133" s="5"/>
      <c r="AP133" s="27"/>
      <c r="AQ133" s="28"/>
      <c r="AR133" s="5"/>
      <c r="AS133" s="27"/>
      <c r="AT133" s="5"/>
      <c r="AU133" s="99"/>
      <c r="AV133" s="28"/>
      <c r="AW133" s="5"/>
      <c r="AX133" s="27"/>
      <c r="AY133" s="5"/>
      <c r="AZ133" s="27"/>
      <c r="BA133" s="28"/>
    </row>
    <row r="134" spans="2:53" x14ac:dyDescent="0.25">
      <c r="B134" s="79"/>
      <c r="C134" s="5"/>
      <c r="D134" s="27"/>
      <c r="E134" s="5"/>
      <c r="F134" s="27"/>
      <c r="G134" s="5"/>
      <c r="H134" s="5"/>
      <c r="I134" s="49" t="s">
        <v>195</v>
      </c>
      <c r="J134" s="5" t="str">
        <f>INDEX('Nike pace chart'!$BO$9:$BO$16,MATCH('Nike training program_21k'!I134,'Nike pace chart'!$BY$9:$BY$16,0))</f>
        <v>04:37</v>
      </c>
      <c r="K134" s="99">
        <f>INDEX('Nike pace chart'!$BV$9:$BV$16,MATCH(I134,'Nike pace chart'!$BY$9:$BY$16,0))/1000*((_xlfn.TEXTBEFORE(L134,":")+_xlfn.TEXTAFTER(L134,":")/60))</f>
        <v>0.22</v>
      </c>
      <c r="L134" s="28" t="s">
        <v>225</v>
      </c>
      <c r="M134" s="5"/>
      <c r="N134" s="27"/>
      <c r="O134" s="5"/>
      <c r="P134" s="27"/>
      <c r="Q134" s="28"/>
      <c r="R134" s="5"/>
      <c r="S134" s="27"/>
      <c r="T134" s="5"/>
      <c r="U134" s="27"/>
      <c r="V134" s="28"/>
      <c r="W134" s="5"/>
      <c r="X134" s="27"/>
      <c r="Y134" s="5"/>
      <c r="Z134" s="27"/>
      <c r="AA134" s="28"/>
      <c r="AB134" s="102">
        <v>1</v>
      </c>
      <c r="AC134" s="5"/>
      <c r="AD134" s="27"/>
      <c r="AE134" s="5"/>
      <c r="AF134" s="27"/>
      <c r="AG134" s="5"/>
      <c r="AH134" s="5"/>
      <c r="AI134" s="49" t="s">
        <v>195</v>
      </c>
      <c r="AJ134" s="5" t="str">
        <f>INDEX('Nike pace chart'!$BO$9:$BO$16,MATCH('Nike training program_21k'!AI134,'Nike pace chart'!$BY$9:$BY$16,0))</f>
        <v>04:37</v>
      </c>
      <c r="AK134" s="99">
        <v>0.2</v>
      </c>
      <c r="AL134" s="28" t="s">
        <v>225</v>
      </c>
      <c r="AM134" s="5"/>
      <c r="AN134" s="27"/>
      <c r="AO134" s="5"/>
      <c r="AP134" s="27"/>
      <c r="AQ134" s="28"/>
      <c r="AR134" s="5"/>
      <c r="AS134" s="27"/>
      <c r="AT134" s="5"/>
      <c r="AU134" s="99"/>
      <c r="AV134" s="28"/>
      <c r="AW134" s="5"/>
      <c r="AX134" s="27"/>
      <c r="AY134" s="5"/>
      <c r="AZ134" s="27"/>
      <c r="BA134" s="28"/>
    </row>
    <row r="135" spans="2:53" x14ac:dyDescent="0.25">
      <c r="B135" s="79"/>
      <c r="C135" s="5"/>
      <c r="D135" s="27"/>
      <c r="E135" s="5"/>
      <c r="F135" s="27"/>
      <c r="G135" s="5"/>
      <c r="H135" s="5"/>
      <c r="I135" s="46" t="s">
        <v>201</v>
      </c>
      <c r="J135" s="5" t="str">
        <f>INDEX('Nike pace chart'!$BO$9:$BO$16,MATCH('Nike training program_21k'!I135,'Nike pace chart'!$BY$9:$BY$16,0))</f>
        <v>05:39</v>
      </c>
      <c r="K135" s="99">
        <f>INDEX('Nike pace chart'!$BV$9:$BV$16,MATCH(I135,'Nike pace chart'!$BY$9:$BY$16,0))/1000*((_xlfn.TEXTBEFORE(L135,":")+_xlfn.TEXTAFTER(L135,":")/60))</f>
        <v>0.18</v>
      </c>
      <c r="L135" s="28" t="s">
        <v>225</v>
      </c>
      <c r="M135" s="5"/>
      <c r="N135" s="27"/>
      <c r="O135" s="5"/>
      <c r="P135" s="27"/>
      <c r="Q135" s="28"/>
      <c r="R135" s="5"/>
      <c r="S135" s="27"/>
      <c r="T135" s="5"/>
      <c r="U135" s="27"/>
      <c r="V135" s="28"/>
      <c r="W135" s="5"/>
      <c r="X135" s="27"/>
      <c r="Y135" s="5"/>
      <c r="Z135" s="27"/>
      <c r="AA135" s="28"/>
      <c r="AB135" s="102">
        <v>1</v>
      </c>
      <c r="AC135" s="5"/>
      <c r="AD135" s="27"/>
      <c r="AE135" s="5"/>
      <c r="AF135" s="27"/>
      <c r="AG135" s="5"/>
      <c r="AH135" s="5"/>
      <c r="AI135" s="46" t="s">
        <v>201</v>
      </c>
      <c r="AJ135" s="5" t="str">
        <f>INDEX('Nike pace chart'!$BO$9:$BO$16,MATCH('Nike training program_21k'!AI135,'Nike pace chart'!$BY$9:$BY$16,0))</f>
        <v>05:39</v>
      </c>
      <c r="AK135" s="99">
        <v>0.1</v>
      </c>
      <c r="AL135" s="28" t="s">
        <v>225</v>
      </c>
      <c r="AM135" s="5"/>
      <c r="AN135" s="27"/>
      <c r="AO135" s="5"/>
      <c r="AP135" s="27"/>
      <c r="AQ135" s="28"/>
      <c r="AR135" s="5"/>
      <c r="AS135" s="27"/>
      <c r="AT135" s="5"/>
      <c r="AU135" s="99"/>
      <c r="AV135" s="28"/>
      <c r="AW135" s="5"/>
      <c r="AX135" s="27"/>
      <c r="AY135" s="5"/>
      <c r="AZ135" s="27"/>
      <c r="BA135" s="28"/>
    </row>
    <row r="136" spans="2:53" x14ac:dyDescent="0.25">
      <c r="B136" s="79"/>
      <c r="C136" s="5"/>
      <c r="D136" s="27"/>
      <c r="E136" s="5"/>
      <c r="F136" s="27"/>
      <c r="G136" s="5"/>
      <c r="H136" s="5"/>
      <c r="I136" s="27"/>
      <c r="J136" s="5"/>
      <c r="K136" s="27"/>
      <c r="L136" s="28"/>
      <c r="M136" s="5"/>
      <c r="N136" s="27"/>
      <c r="O136" s="5"/>
      <c r="P136" s="27"/>
      <c r="Q136" s="28"/>
      <c r="R136" s="5"/>
      <c r="S136" s="27"/>
      <c r="T136" s="5"/>
      <c r="U136" s="27"/>
      <c r="V136" s="28"/>
      <c r="W136" s="5"/>
      <c r="X136" s="27"/>
      <c r="Y136" s="5"/>
      <c r="Z136" s="27"/>
      <c r="AA136" s="28"/>
      <c r="AC136" s="5"/>
      <c r="AD136" s="27"/>
      <c r="AE136" s="5"/>
      <c r="AF136" s="27"/>
      <c r="AG136" s="5"/>
      <c r="AH136" s="5"/>
      <c r="AI136" s="27"/>
      <c r="AJ136" s="5"/>
      <c r="AK136" s="99"/>
      <c r="AL136" s="28"/>
      <c r="AM136" s="5"/>
      <c r="AN136" s="27"/>
      <c r="AO136" s="5"/>
      <c r="AP136" s="27"/>
      <c r="AQ136" s="28"/>
      <c r="AR136" s="5"/>
      <c r="AS136" s="27"/>
      <c r="AT136" s="5"/>
      <c r="AU136" s="99"/>
      <c r="AV136" s="28"/>
      <c r="AW136" s="5"/>
      <c r="AX136" s="27"/>
      <c r="AY136" s="5"/>
      <c r="AZ136" s="27"/>
      <c r="BA136" s="28"/>
    </row>
    <row r="137" spans="2:53" x14ac:dyDescent="0.25">
      <c r="B137" s="79"/>
      <c r="C137" s="5"/>
      <c r="D137" s="27"/>
      <c r="E137" s="5"/>
      <c r="F137" s="27"/>
      <c r="G137" s="5"/>
      <c r="H137" s="5"/>
      <c r="I137" s="27"/>
      <c r="J137" s="5"/>
      <c r="K137" s="27"/>
      <c r="L137" s="28"/>
      <c r="M137" s="5"/>
      <c r="N137" s="27"/>
      <c r="O137" s="5"/>
      <c r="P137" s="27"/>
      <c r="Q137" s="28"/>
      <c r="R137" s="5"/>
      <c r="S137" s="27"/>
      <c r="T137" s="5"/>
      <c r="U137" s="27"/>
      <c r="V137" s="28"/>
      <c r="W137" s="5"/>
      <c r="X137" s="27"/>
      <c r="Y137" s="5"/>
      <c r="Z137" s="27"/>
      <c r="AA137" s="28"/>
      <c r="AC137" s="5"/>
      <c r="AD137" s="27"/>
      <c r="AE137" s="5"/>
      <c r="AF137" s="27"/>
      <c r="AG137" s="5"/>
      <c r="AH137" s="5"/>
      <c r="AI137" s="27"/>
      <c r="AJ137" s="5"/>
      <c r="AK137" s="99"/>
      <c r="AL137" s="28"/>
      <c r="AM137" s="5"/>
      <c r="AN137" s="27"/>
      <c r="AO137" s="5"/>
      <c r="AP137" s="27"/>
      <c r="AQ137" s="28"/>
      <c r="AR137" s="5"/>
      <c r="AS137" s="27"/>
      <c r="AT137" s="5"/>
      <c r="AU137" s="99"/>
      <c r="AV137" s="28"/>
      <c r="AW137" s="5"/>
      <c r="AX137" s="27"/>
      <c r="AY137" s="5"/>
      <c r="AZ137" s="27"/>
      <c r="BA137" s="28"/>
    </row>
    <row r="138" spans="2:53" x14ac:dyDescent="0.25">
      <c r="B138" s="79"/>
      <c r="C138" s="5"/>
      <c r="D138" s="27"/>
      <c r="E138" s="5"/>
      <c r="F138" s="27"/>
      <c r="G138" s="5"/>
      <c r="H138" s="5"/>
      <c r="I138" s="27"/>
      <c r="J138" s="5"/>
      <c r="K138" s="27"/>
      <c r="L138" s="28"/>
      <c r="M138" s="5"/>
      <c r="N138" s="27"/>
      <c r="O138" s="5"/>
      <c r="P138" s="27"/>
      <c r="Q138" s="28"/>
      <c r="R138" s="5"/>
      <c r="S138" s="27"/>
      <c r="T138" s="5"/>
      <c r="U138" s="27"/>
      <c r="V138" s="28"/>
      <c r="W138" s="5"/>
      <c r="X138" s="27"/>
      <c r="Y138" s="5"/>
      <c r="Z138" s="27"/>
      <c r="AA138" s="28"/>
      <c r="AC138" s="5"/>
      <c r="AD138" s="27"/>
      <c r="AE138" s="5"/>
      <c r="AF138" s="27"/>
      <c r="AG138" s="5"/>
      <c r="AH138" s="5"/>
      <c r="AI138" s="27"/>
      <c r="AJ138" s="5"/>
      <c r="AK138" s="99"/>
      <c r="AL138" s="28"/>
      <c r="AM138" s="5"/>
      <c r="AN138" s="27"/>
      <c r="AO138" s="5"/>
      <c r="AP138" s="27"/>
      <c r="AQ138" s="28"/>
      <c r="AR138" s="5"/>
      <c r="AS138" s="27"/>
      <c r="AT138" s="5"/>
      <c r="AU138" s="99"/>
      <c r="AV138" s="28"/>
      <c r="AW138" s="5"/>
      <c r="AX138" s="27"/>
      <c r="AY138" s="5"/>
      <c r="AZ138" s="27"/>
      <c r="BA138" s="28"/>
    </row>
    <row r="139" spans="2:53" x14ac:dyDescent="0.25">
      <c r="B139" s="79"/>
      <c r="C139" s="5"/>
      <c r="D139" s="27"/>
      <c r="E139" s="5"/>
      <c r="F139" s="27"/>
      <c r="G139" s="5"/>
      <c r="H139" s="5"/>
      <c r="I139" s="27"/>
      <c r="J139" s="5"/>
      <c r="K139" s="27"/>
      <c r="L139" s="28"/>
      <c r="M139" s="5"/>
      <c r="N139" s="27"/>
      <c r="O139" s="5"/>
      <c r="P139" s="27"/>
      <c r="Q139" s="28"/>
      <c r="R139" s="5"/>
      <c r="S139" s="27"/>
      <c r="T139" s="5"/>
      <c r="U139" s="27"/>
      <c r="V139" s="28"/>
      <c r="W139" s="5"/>
      <c r="X139" s="27"/>
      <c r="Y139" s="5"/>
      <c r="Z139" s="27"/>
      <c r="AA139" s="28"/>
      <c r="AC139" s="5"/>
      <c r="AD139" s="27"/>
      <c r="AE139" s="5"/>
      <c r="AF139" s="27"/>
      <c r="AG139" s="5"/>
      <c r="AH139" s="5"/>
      <c r="AI139" s="27"/>
      <c r="AJ139" s="5"/>
      <c r="AK139" s="99"/>
      <c r="AL139" s="28"/>
      <c r="AM139" s="5"/>
      <c r="AN139" s="27"/>
      <c r="AO139" s="5"/>
      <c r="AP139" s="27"/>
      <c r="AQ139" s="28"/>
      <c r="AR139" s="5"/>
      <c r="AS139" s="27"/>
      <c r="AT139" s="5"/>
      <c r="AU139" s="99"/>
      <c r="AV139" s="28"/>
      <c r="AW139" s="5"/>
      <c r="AX139" s="27"/>
      <c r="AY139" s="5"/>
      <c r="AZ139" s="27"/>
      <c r="BA139" s="28"/>
    </row>
    <row r="140" spans="2:53" x14ac:dyDescent="0.25">
      <c r="C140" s="5"/>
      <c r="D140" s="27"/>
      <c r="E140" s="5"/>
      <c r="F140" s="27"/>
      <c r="G140" s="5"/>
      <c r="H140" s="5"/>
      <c r="I140" s="27"/>
      <c r="J140" s="5"/>
      <c r="K140" s="27"/>
      <c r="L140" s="28"/>
      <c r="M140" s="5"/>
      <c r="N140" s="27"/>
      <c r="O140" s="5"/>
      <c r="P140" s="27"/>
      <c r="Q140" s="28"/>
      <c r="R140" s="5"/>
      <c r="S140" s="27"/>
      <c r="T140" s="5"/>
      <c r="U140" s="27"/>
      <c r="V140" s="28"/>
      <c r="W140" s="5"/>
      <c r="X140" s="27"/>
      <c r="Y140" s="5"/>
      <c r="Z140" s="27"/>
      <c r="AA140" s="28"/>
      <c r="AC140" s="5"/>
      <c r="AD140" s="27"/>
      <c r="AE140" s="5"/>
      <c r="AF140" s="27"/>
      <c r="AG140" s="5"/>
      <c r="AH140" s="5"/>
      <c r="AI140" s="27"/>
      <c r="AJ140" s="5"/>
      <c r="AK140" s="99"/>
      <c r="AL140" s="28"/>
      <c r="AM140" s="5"/>
      <c r="AN140" s="27"/>
      <c r="AO140" s="5"/>
      <c r="AP140" s="27"/>
      <c r="AQ140" s="28"/>
      <c r="AR140" s="5"/>
      <c r="AS140" s="27"/>
      <c r="AT140" s="5"/>
      <c r="AU140" s="99"/>
      <c r="AV140" s="28"/>
      <c r="AW140" s="5"/>
      <c r="AX140" s="27"/>
      <c r="AY140" s="5"/>
      <c r="AZ140" s="27"/>
      <c r="BA140" s="28"/>
    </row>
    <row r="141" spans="2:53" x14ac:dyDescent="0.25">
      <c r="C141" s="5"/>
      <c r="D141" s="27"/>
      <c r="E141" s="5"/>
      <c r="F141" s="27"/>
      <c r="G141" s="5"/>
      <c r="H141" s="5"/>
      <c r="I141" s="27"/>
      <c r="J141" s="5"/>
      <c r="K141" s="27"/>
      <c r="L141" s="28"/>
      <c r="M141" s="5"/>
      <c r="N141" s="27"/>
      <c r="O141" s="5"/>
      <c r="P141" s="27"/>
      <c r="Q141" s="28"/>
      <c r="R141" s="5"/>
      <c r="S141" s="27"/>
      <c r="T141" s="5"/>
      <c r="U141" s="27"/>
      <c r="V141" s="28"/>
      <c r="W141" s="5"/>
      <c r="X141" s="27"/>
      <c r="Y141" s="5"/>
      <c r="Z141" s="27"/>
      <c r="AA141" s="28"/>
      <c r="AC141" s="5"/>
      <c r="AD141" s="27"/>
      <c r="AE141" s="5"/>
      <c r="AF141" s="27"/>
      <c r="AG141" s="5"/>
      <c r="AH141" s="5"/>
      <c r="AI141" s="27"/>
      <c r="AJ141" s="5"/>
      <c r="AK141" s="99"/>
      <c r="AL141" s="28"/>
      <c r="AM141" s="5"/>
      <c r="AN141" s="27"/>
      <c r="AO141" s="5"/>
      <c r="AP141" s="27"/>
      <c r="AQ141" s="28"/>
      <c r="AR141" s="5"/>
      <c r="AS141" s="27"/>
      <c r="AT141" s="5"/>
      <c r="AU141" s="99"/>
      <c r="AV141" s="28"/>
      <c r="AW141" s="5"/>
      <c r="AX141" s="27"/>
      <c r="AY141" s="5"/>
      <c r="AZ141" s="27"/>
      <c r="BA141" s="28"/>
    </row>
    <row r="142" spans="2:53" x14ac:dyDescent="0.25">
      <c r="C142" s="5"/>
      <c r="D142" s="27"/>
      <c r="E142" s="5"/>
      <c r="F142" s="27"/>
      <c r="G142" s="5"/>
      <c r="H142" s="5"/>
      <c r="I142" s="27"/>
      <c r="J142" s="5"/>
      <c r="K142" s="27"/>
      <c r="L142" s="28"/>
      <c r="M142" s="5"/>
      <c r="N142" s="27"/>
      <c r="O142" s="5"/>
      <c r="P142" s="27"/>
      <c r="Q142" s="28"/>
      <c r="R142" s="5"/>
      <c r="S142" s="27"/>
      <c r="T142" s="5"/>
      <c r="U142" s="27"/>
      <c r="V142" s="28"/>
      <c r="W142" s="5"/>
      <c r="X142" s="27"/>
      <c r="Y142" s="5"/>
      <c r="Z142" s="27"/>
      <c r="AA142" s="28"/>
      <c r="AC142" s="5"/>
      <c r="AD142" s="27"/>
      <c r="AE142" s="5"/>
      <c r="AF142" s="27"/>
      <c r="AG142" s="5"/>
      <c r="AH142" s="5"/>
      <c r="AI142" s="27"/>
      <c r="AJ142" s="5"/>
      <c r="AK142" s="99"/>
      <c r="AL142" s="28"/>
      <c r="AM142" s="5"/>
      <c r="AN142" s="27"/>
      <c r="AO142" s="5"/>
      <c r="AP142" s="27"/>
      <c r="AQ142" s="28"/>
      <c r="AR142" s="5"/>
      <c r="AS142" s="27"/>
      <c r="AT142" s="5"/>
      <c r="AU142" s="99"/>
      <c r="AV142" s="28"/>
      <c r="AW142" s="5"/>
      <c r="AX142" s="27"/>
      <c r="AY142" s="5"/>
      <c r="AZ142" s="27"/>
      <c r="BA142" s="28"/>
    </row>
    <row r="143" spans="2:53" x14ac:dyDescent="0.25">
      <c r="C143" s="5"/>
      <c r="D143" s="27"/>
      <c r="E143" s="5"/>
      <c r="F143" s="27"/>
      <c r="G143" s="5"/>
      <c r="H143" s="5"/>
      <c r="I143" s="27"/>
      <c r="J143" s="5"/>
      <c r="K143" s="27"/>
      <c r="L143" s="28"/>
      <c r="M143" s="5"/>
      <c r="N143" s="27"/>
      <c r="O143" s="5"/>
      <c r="P143" s="27"/>
      <c r="Q143" s="28"/>
      <c r="R143" s="5"/>
      <c r="S143" s="27"/>
      <c r="T143" s="5"/>
      <c r="U143" s="27"/>
      <c r="V143" s="28"/>
      <c r="W143" s="5"/>
      <c r="X143" s="27"/>
      <c r="Y143" s="5"/>
      <c r="Z143" s="27"/>
      <c r="AA143" s="28"/>
      <c r="AC143" s="5"/>
      <c r="AD143" s="27"/>
      <c r="AE143" s="5"/>
      <c r="AF143" s="27"/>
      <c r="AG143" s="5"/>
      <c r="AH143" s="5"/>
      <c r="AI143" s="27"/>
      <c r="AJ143" s="5"/>
      <c r="AK143" s="99"/>
      <c r="AL143" s="28"/>
      <c r="AM143" s="5"/>
      <c r="AN143" s="27"/>
      <c r="AO143" s="5"/>
      <c r="AP143" s="27"/>
      <c r="AQ143" s="28"/>
      <c r="AR143" s="5"/>
      <c r="AS143" s="27"/>
      <c r="AT143" s="5"/>
      <c r="AU143" s="99"/>
      <c r="AV143" s="28"/>
      <c r="AW143" s="5"/>
      <c r="AX143" s="27"/>
      <c r="AY143" s="5"/>
      <c r="AZ143" s="27"/>
      <c r="BA143" s="28"/>
    </row>
    <row r="144" spans="2:53" x14ac:dyDescent="0.25">
      <c r="C144" s="5"/>
      <c r="D144" s="27"/>
      <c r="E144" s="5"/>
      <c r="F144" s="27"/>
      <c r="G144" s="5"/>
      <c r="H144" s="5"/>
      <c r="I144" s="27"/>
      <c r="J144" s="5"/>
      <c r="K144" s="27"/>
      <c r="L144" s="28"/>
      <c r="M144" s="5"/>
      <c r="N144" s="27"/>
      <c r="O144" s="5"/>
      <c r="P144" s="27"/>
      <c r="Q144" s="28"/>
      <c r="R144" s="5"/>
      <c r="S144" s="27"/>
      <c r="T144" s="5"/>
      <c r="U144" s="27"/>
      <c r="V144" s="28"/>
      <c r="W144" s="5"/>
      <c r="X144" s="27"/>
      <c r="Y144" s="5"/>
      <c r="Z144" s="27"/>
      <c r="AA144" s="28"/>
      <c r="AC144" s="5"/>
      <c r="AD144" s="27"/>
      <c r="AE144" s="5"/>
      <c r="AF144" s="27"/>
      <c r="AG144" s="5"/>
      <c r="AH144" s="5"/>
      <c r="AI144" s="27"/>
      <c r="AJ144" s="5"/>
      <c r="AK144" s="99"/>
      <c r="AL144" s="28"/>
      <c r="AM144" s="5"/>
      <c r="AN144" s="27"/>
      <c r="AO144" s="5"/>
      <c r="AP144" s="27"/>
      <c r="AQ144" s="28"/>
      <c r="AR144" s="5"/>
      <c r="AS144" s="27"/>
      <c r="AT144" s="5"/>
      <c r="AU144" s="99"/>
      <c r="AV144" s="28"/>
      <c r="AW144" s="5"/>
      <c r="AX144" s="27"/>
      <c r="AY144" s="5"/>
      <c r="AZ144" s="27"/>
      <c r="BA144" s="28"/>
    </row>
    <row r="145" spans="3:53" x14ac:dyDescent="0.25">
      <c r="C145" s="5"/>
      <c r="D145" s="27"/>
      <c r="E145" s="5"/>
      <c r="F145" s="27"/>
      <c r="G145" s="5"/>
      <c r="H145" s="5"/>
      <c r="I145" s="27"/>
      <c r="J145" s="5"/>
      <c r="K145" s="27"/>
      <c r="L145" s="28"/>
      <c r="M145" s="5"/>
      <c r="N145" s="27"/>
      <c r="O145" s="5"/>
      <c r="P145" s="27"/>
      <c r="Q145" s="28"/>
      <c r="R145" s="5"/>
      <c r="S145" s="27"/>
      <c r="T145" s="5"/>
      <c r="U145" s="27"/>
      <c r="V145" s="28"/>
      <c r="W145" s="5"/>
      <c r="X145" s="27"/>
      <c r="Y145" s="5"/>
      <c r="Z145" s="27"/>
      <c r="AA145" s="28"/>
      <c r="AC145" s="5"/>
      <c r="AD145" s="27"/>
      <c r="AE145" s="5"/>
      <c r="AF145" s="27"/>
      <c r="AG145" s="5"/>
      <c r="AH145" s="5"/>
      <c r="AI145" s="27"/>
      <c r="AJ145" s="5"/>
      <c r="AK145" s="99"/>
      <c r="AL145" s="28"/>
      <c r="AM145" s="5"/>
      <c r="AN145" s="27"/>
      <c r="AO145" s="5"/>
      <c r="AP145" s="27"/>
      <c r="AQ145" s="28"/>
      <c r="AR145" s="5"/>
      <c r="AS145" s="27"/>
      <c r="AT145" s="5"/>
      <c r="AU145" s="99"/>
      <c r="AV145" s="28"/>
      <c r="AW145" s="5"/>
      <c r="AX145" s="27"/>
      <c r="AY145" s="5"/>
      <c r="AZ145" s="27"/>
      <c r="BA145" s="28"/>
    </row>
    <row r="146" spans="3:53" x14ac:dyDescent="0.25">
      <c r="C146" s="5"/>
      <c r="D146" s="27"/>
      <c r="E146" s="5"/>
      <c r="F146" s="27"/>
      <c r="G146" s="5"/>
      <c r="H146" s="5"/>
      <c r="I146" s="27"/>
      <c r="J146" s="5"/>
      <c r="K146" s="27"/>
      <c r="L146" s="28"/>
      <c r="M146" s="5"/>
      <c r="N146" s="27"/>
      <c r="O146" s="5"/>
      <c r="P146" s="27"/>
      <c r="Q146" s="28"/>
      <c r="R146" s="5"/>
      <c r="S146" s="27"/>
      <c r="T146" s="5"/>
      <c r="U146" s="27"/>
      <c r="V146" s="28"/>
      <c r="W146" s="5"/>
      <c r="X146" s="27"/>
      <c r="Y146" s="5"/>
      <c r="Z146" s="27"/>
      <c r="AA146" s="28"/>
      <c r="AC146" s="5"/>
      <c r="AD146" s="27"/>
      <c r="AE146" s="5"/>
      <c r="AF146" s="27"/>
      <c r="AG146" s="5"/>
      <c r="AH146" s="5"/>
      <c r="AI146" s="27"/>
      <c r="AJ146" s="5"/>
      <c r="AK146" s="99"/>
      <c r="AL146" s="28"/>
      <c r="AM146" s="5"/>
      <c r="AN146" s="27"/>
      <c r="AO146" s="5"/>
      <c r="AP146" s="27"/>
      <c r="AQ146" s="28"/>
      <c r="AR146" s="5"/>
      <c r="AS146" s="27"/>
      <c r="AT146" s="5"/>
      <c r="AU146" s="99"/>
      <c r="AV146" s="28"/>
      <c r="AW146" s="5"/>
      <c r="AX146" s="27"/>
      <c r="AY146" s="5"/>
      <c r="AZ146" s="27"/>
      <c r="BA146" s="28"/>
    </row>
    <row r="147" spans="3:53" x14ac:dyDescent="0.25">
      <c r="C147" s="5"/>
      <c r="D147" s="27"/>
      <c r="E147" s="5"/>
      <c r="F147" s="27"/>
      <c r="G147" s="5"/>
      <c r="H147" s="5"/>
      <c r="I147" s="27"/>
      <c r="J147" s="5"/>
      <c r="K147" s="27"/>
      <c r="L147" s="28"/>
      <c r="M147" s="5"/>
      <c r="N147" s="27"/>
      <c r="O147" s="5"/>
      <c r="P147" s="27"/>
      <c r="Q147" s="28"/>
      <c r="R147" s="5"/>
      <c r="S147" s="27"/>
      <c r="T147" s="5"/>
      <c r="U147" s="27"/>
      <c r="V147" s="28"/>
      <c r="W147" s="5"/>
      <c r="X147" s="27"/>
      <c r="Y147" s="5"/>
      <c r="Z147" s="27"/>
      <c r="AA147" s="28"/>
      <c r="AC147" s="5"/>
      <c r="AD147" s="27"/>
      <c r="AE147" s="5"/>
      <c r="AF147" s="27"/>
      <c r="AG147" s="5"/>
      <c r="AH147" s="5"/>
      <c r="AI147" s="27"/>
      <c r="AJ147" s="5"/>
      <c r="AK147" s="99"/>
      <c r="AL147" s="28"/>
      <c r="AM147" s="5"/>
      <c r="AN147" s="27"/>
      <c r="AO147" s="5"/>
      <c r="AP147" s="27"/>
      <c r="AQ147" s="28"/>
      <c r="AR147" s="5"/>
      <c r="AS147" s="27"/>
      <c r="AT147" s="5"/>
      <c r="AU147" s="99"/>
      <c r="AV147" s="28"/>
      <c r="AW147" s="5"/>
      <c r="AX147" s="27"/>
      <c r="AY147" s="5"/>
      <c r="AZ147" s="27"/>
      <c r="BA147" s="28"/>
    </row>
    <row r="148" spans="3:53" x14ac:dyDescent="0.25">
      <c r="C148" s="5"/>
      <c r="D148" s="27"/>
      <c r="E148" s="5"/>
      <c r="F148" s="27"/>
      <c r="G148" s="5"/>
      <c r="H148" s="5"/>
      <c r="I148" s="27"/>
      <c r="J148" s="5"/>
      <c r="K148" s="27"/>
      <c r="L148" s="28"/>
      <c r="M148" s="5"/>
      <c r="N148" s="27"/>
      <c r="O148" s="5"/>
      <c r="P148" s="27"/>
      <c r="Q148" s="28"/>
      <c r="R148" s="5"/>
      <c r="S148" s="27"/>
      <c r="T148" s="5"/>
      <c r="U148" s="27"/>
      <c r="V148" s="28"/>
      <c r="W148" s="5"/>
      <c r="X148" s="27"/>
      <c r="Y148" s="5"/>
      <c r="Z148" s="27"/>
      <c r="AA148" s="28"/>
      <c r="AC148" s="5"/>
      <c r="AD148" s="27"/>
      <c r="AE148" s="5"/>
      <c r="AF148" s="27"/>
      <c r="AG148" s="5"/>
      <c r="AH148" s="5"/>
      <c r="AI148" s="27"/>
      <c r="AJ148" s="5"/>
      <c r="AK148" s="99"/>
      <c r="AL148" s="28"/>
      <c r="AM148" s="5"/>
      <c r="AN148" s="27"/>
      <c r="AO148" s="5"/>
      <c r="AP148" s="27"/>
      <c r="AQ148" s="28"/>
      <c r="AR148" s="5"/>
      <c r="AS148" s="27"/>
      <c r="AT148" s="5"/>
      <c r="AU148" s="99"/>
      <c r="AV148" s="28"/>
      <c r="AW148" s="5"/>
      <c r="AX148" s="27"/>
      <c r="AY148" s="5"/>
      <c r="AZ148" s="27"/>
      <c r="BA148" s="28"/>
    </row>
    <row r="149" spans="3:53" x14ac:dyDescent="0.25">
      <c r="C149" s="5"/>
      <c r="D149" s="27"/>
      <c r="E149" s="5"/>
      <c r="F149" s="27"/>
      <c r="G149" s="5"/>
      <c r="H149" s="5"/>
      <c r="I149" s="27"/>
      <c r="J149" s="5"/>
      <c r="K149" s="27"/>
      <c r="L149" s="28"/>
      <c r="M149" s="5"/>
      <c r="N149" s="27"/>
      <c r="O149" s="5"/>
      <c r="P149" s="27"/>
      <c r="Q149" s="28"/>
      <c r="R149" s="5"/>
      <c r="S149" s="27"/>
      <c r="T149" s="5"/>
      <c r="U149" s="27"/>
      <c r="V149" s="28"/>
      <c r="W149" s="5"/>
      <c r="X149" s="27"/>
      <c r="Y149" s="5"/>
      <c r="Z149" s="27"/>
      <c r="AA149" s="28"/>
      <c r="AC149" s="5"/>
      <c r="AD149" s="27"/>
      <c r="AE149" s="5"/>
      <c r="AF149" s="27"/>
      <c r="AG149" s="5"/>
      <c r="AH149" s="5"/>
      <c r="AI149" s="27"/>
      <c r="AJ149" s="5"/>
      <c r="AK149" s="99"/>
      <c r="AL149" s="28"/>
      <c r="AM149" s="5"/>
      <c r="AN149" s="27"/>
      <c r="AO149" s="5"/>
      <c r="AP149" s="27"/>
      <c r="AQ149" s="28"/>
      <c r="AR149" s="5"/>
      <c r="AS149" s="27"/>
      <c r="AT149" s="5"/>
      <c r="AU149" s="99"/>
      <c r="AV149" s="28"/>
      <c r="AW149" s="5"/>
      <c r="AX149" s="27"/>
      <c r="AY149" s="5"/>
      <c r="AZ149" s="27"/>
      <c r="BA149" s="28"/>
    </row>
    <row r="150" spans="3:53" x14ac:dyDescent="0.25">
      <c r="C150" s="5"/>
      <c r="D150" s="27"/>
      <c r="E150" s="5"/>
      <c r="F150" s="27"/>
      <c r="G150" s="5"/>
      <c r="H150" s="5"/>
      <c r="I150" s="27"/>
      <c r="J150" s="5"/>
      <c r="K150" s="27"/>
      <c r="L150" s="28"/>
      <c r="M150" s="5"/>
      <c r="N150" s="27"/>
      <c r="O150" s="5"/>
      <c r="P150" s="27"/>
      <c r="Q150" s="28"/>
      <c r="R150" s="5"/>
      <c r="S150" s="27"/>
      <c r="T150" s="5"/>
      <c r="U150" s="27"/>
      <c r="V150" s="28"/>
      <c r="W150" s="5"/>
      <c r="X150" s="27"/>
      <c r="Y150" s="5"/>
      <c r="Z150" s="27"/>
      <c r="AA150" s="28"/>
      <c r="AC150" s="5"/>
      <c r="AD150" s="27"/>
      <c r="AE150" s="5"/>
      <c r="AF150" s="27"/>
      <c r="AG150" s="5"/>
      <c r="AH150" s="5"/>
      <c r="AI150" s="27"/>
      <c r="AJ150" s="5"/>
      <c r="AK150" s="99"/>
      <c r="AL150" s="28"/>
      <c r="AM150" s="5"/>
      <c r="AN150" s="27"/>
      <c r="AO150" s="5"/>
      <c r="AP150" s="27"/>
      <c r="AQ150" s="28"/>
      <c r="AR150" s="5"/>
      <c r="AS150" s="27"/>
      <c r="AT150" s="5"/>
      <c r="AU150" s="99"/>
      <c r="AV150" s="28"/>
      <c r="AW150" s="5"/>
      <c r="AX150" s="27"/>
      <c r="AY150" s="5"/>
      <c r="AZ150" s="27"/>
      <c r="BA150" s="28"/>
    </row>
    <row r="151" spans="3:53" x14ac:dyDescent="0.25">
      <c r="C151" s="5"/>
      <c r="D151" s="27"/>
      <c r="E151" s="5"/>
      <c r="F151" s="27"/>
      <c r="G151" s="5"/>
      <c r="H151" s="5"/>
      <c r="I151" s="27"/>
      <c r="J151" s="5"/>
      <c r="K151" s="27"/>
      <c r="L151" s="28"/>
      <c r="M151" s="5"/>
      <c r="N151" s="27"/>
      <c r="O151" s="5"/>
      <c r="P151" s="27"/>
      <c r="Q151" s="28"/>
      <c r="R151" s="5"/>
      <c r="S151" s="27"/>
      <c r="T151" s="5"/>
      <c r="U151" s="27"/>
      <c r="V151" s="28"/>
      <c r="W151" s="5"/>
      <c r="X151" s="27"/>
      <c r="Y151" s="5"/>
      <c r="Z151" s="27"/>
      <c r="AA151" s="28"/>
      <c r="AC151" s="5"/>
      <c r="AD151" s="27"/>
      <c r="AE151" s="5"/>
      <c r="AF151" s="27"/>
      <c r="AG151" s="5"/>
      <c r="AH151" s="5"/>
      <c r="AI151" s="27"/>
      <c r="AJ151" s="5"/>
      <c r="AK151" s="99"/>
      <c r="AL151" s="28"/>
      <c r="AM151" s="5"/>
      <c r="AN151" s="27"/>
      <c r="AO151" s="5"/>
      <c r="AP151" s="27"/>
      <c r="AQ151" s="28"/>
      <c r="AR151" s="5"/>
      <c r="AS151" s="27"/>
      <c r="AT151" s="5"/>
      <c r="AU151" s="99"/>
      <c r="AV151" s="28"/>
      <c r="AW151" s="5"/>
      <c r="AX151" s="27"/>
      <c r="AY151" s="5"/>
      <c r="AZ151" s="27"/>
      <c r="BA151" s="28"/>
    </row>
    <row r="152" spans="3:53" x14ac:dyDescent="0.25">
      <c r="C152" s="5"/>
      <c r="D152" s="27"/>
      <c r="E152" s="5"/>
      <c r="F152" s="27"/>
      <c r="G152" s="5"/>
      <c r="H152" s="5"/>
      <c r="I152" s="27"/>
      <c r="J152" s="5"/>
      <c r="K152" s="27"/>
      <c r="L152" s="28"/>
      <c r="M152" s="5"/>
      <c r="N152" s="27"/>
      <c r="O152" s="5"/>
      <c r="P152" s="27"/>
      <c r="Q152" s="28"/>
      <c r="R152" s="5"/>
      <c r="S152" s="27"/>
      <c r="T152" s="5"/>
      <c r="U152" s="27"/>
      <c r="V152" s="28"/>
      <c r="W152" s="5"/>
      <c r="X152" s="27"/>
      <c r="Y152" s="5"/>
      <c r="Z152" s="27"/>
      <c r="AA152" s="28"/>
      <c r="AC152" s="5"/>
      <c r="AD152" s="27"/>
      <c r="AE152" s="5"/>
      <c r="AF152" s="27"/>
      <c r="AG152" s="5"/>
      <c r="AH152" s="5"/>
      <c r="AI152" s="27"/>
      <c r="AJ152" s="5"/>
      <c r="AK152" s="99"/>
      <c r="AL152" s="28"/>
      <c r="AM152" s="5"/>
      <c r="AN152" s="27"/>
      <c r="AO152" s="5"/>
      <c r="AP152" s="27"/>
      <c r="AQ152" s="28"/>
      <c r="AR152" s="5"/>
      <c r="AS152" s="27"/>
      <c r="AT152" s="5"/>
      <c r="AU152" s="99"/>
      <c r="AV152" s="28"/>
      <c r="AW152" s="5"/>
      <c r="AX152" s="27"/>
      <c r="AY152" s="5"/>
      <c r="AZ152" s="27"/>
      <c r="BA152" s="28"/>
    </row>
    <row r="153" spans="3:53" x14ac:dyDescent="0.25">
      <c r="C153" s="5"/>
      <c r="D153" s="27"/>
      <c r="E153" s="5"/>
      <c r="F153" s="27"/>
      <c r="G153" s="5"/>
      <c r="H153" s="5"/>
      <c r="I153" s="27"/>
      <c r="J153" s="5"/>
      <c r="K153" s="27"/>
      <c r="L153" s="28"/>
      <c r="M153" s="5"/>
      <c r="N153" s="27"/>
      <c r="O153" s="5"/>
      <c r="P153" s="27"/>
      <c r="Q153" s="28"/>
      <c r="R153" s="5"/>
      <c r="S153" s="27"/>
      <c r="T153" s="5"/>
      <c r="U153" s="27"/>
      <c r="V153" s="28"/>
      <c r="W153" s="5"/>
      <c r="X153" s="27"/>
      <c r="Y153" s="5"/>
      <c r="Z153" s="27"/>
      <c r="AA153" s="28"/>
      <c r="AC153" s="5"/>
      <c r="AD153" s="27"/>
      <c r="AE153" s="5"/>
      <c r="AF153" s="27"/>
      <c r="AG153" s="5"/>
      <c r="AH153" s="5"/>
      <c r="AI153" s="27"/>
      <c r="AJ153" s="5"/>
      <c r="AK153" s="99"/>
      <c r="AL153" s="28"/>
      <c r="AM153" s="5"/>
      <c r="AN153" s="27"/>
      <c r="AO153" s="5"/>
      <c r="AP153" s="27"/>
      <c r="AQ153" s="28"/>
      <c r="AR153" s="5"/>
      <c r="AS153" s="27"/>
      <c r="AT153" s="5"/>
      <c r="AU153" s="99"/>
      <c r="AV153" s="28"/>
      <c r="AW153" s="5"/>
      <c r="AX153" s="27"/>
      <c r="AY153" s="5"/>
      <c r="AZ153" s="27"/>
      <c r="BA153" s="28"/>
    </row>
    <row r="154" spans="3:53" x14ac:dyDescent="0.25">
      <c r="C154" s="5"/>
      <c r="D154" s="27"/>
      <c r="E154" s="5"/>
      <c r="F154" s="27"/>
      <c r="G154" s="5"/>
      <c r="H154" s="5"/>
      <c r="I154" s="27"/>
      <c r="J154" s="5"/>
      <c r="K154" s="27"/>
      <c r="L154" s="28"/>
      <c r="M154" s="5"/>
      <c r="N154" s="27"/>
      <c r="O154" s="5"/>
      <c r="P154" s="27"/>
      <c r="Q154" s="28"/>
      <c r="R154" s="5"/>
      <c r="S154" s="27"/>
      <c r="T154" s="5"/>
      <c r="U154" s="27"/>
      <c r="V154" s="28"/>
      <c r="W154" s="5"/>
      <c r="X154" s="27"/>
      <c r="Y154" s="5"/>
      <c r="Z154" s="27"/>
      <c r="AA154" s="28"/>
      <c r="AC154" s="5"/>
      <c r="AD154" s="27"/>
      <c r="AE154" s="5"/>
      <c r="AF154" s="27"/>
      <c r="AG154" s="5"/>
      <c r="AH154" s="5"/>
      <c r="AI154" s="27"/>
      <c r="AJ154" s="5"/>
      <c r="AK154" s="99"/>
      <c r="AL154" s="28"/>
      <c r="AM154" s="5"/>
      <c r="AN154" s="27"/>
      <c r="AO154" s="5"/>
      <c r="AP154" s="27"/>
      <c r="AQ154" s="28"/>
      <c r="AR154" s="5"/>
      <c r="AS154" s="27"/>
      <c r="AT154" s="5"/>
      <c r="AU154" s="99"/>
      <c r="AV154" s="28"/>
      <c r="AW154" s="5"/>
      <c r="AX154" s="27"/>
      <c r="AY154" s="5"/>
      <c r="AZ154" s="27"/>
      <c r="BA154" s="28"/>
    </row>
    <row r="155" spans="3:53" x14ac:dyDescent="0.25">
      <c r="C155" s="5"/>
      <c r="D155" s="27"/>
      <c r="E155" s="5"/>
      <c r="F155" s="27"/>
      <c r="G155" s="5"/>
      <c r="H155" s="5"/>
      <c r="I155" s="27"/>
      <c r="J155" s="5"/>
      <c r="K155" s="27"/>
      <c r="L155" s="28"/>
      <c r="M155" s="5"/>
      <c r="N155" s="27"/>
      <c r="O155" s="5"/>
      <c r="P155" s="27"/>
      <c r="Q155" s="28"/>
      <c r="R155" s="5"/>
      <c r="S155" s="27"/>
      <c r="T155" s="5"/>
      <c r="U155" s="27"/>
      <c r="V155" s="28"/>
      <c r="W155" s="5"/>
      <c r="X155" s="27"/>
      <c r="Y155" s="5"/>
      <c r="Z155" s="27"/>
      <c r="AA155" s="28"/>
      <c r="AC155" s="5"/>
      <c r="AD155" s="27"/>
      <c r="AE155" s="5"/>
      <c r="AF155" s="27"/>
      <c r="AG155" s="5"/>
      <c r="AH155" s="5"/>
      <c r="AI155" s="27"/>
      <c r="AJ155" s="5"/>
      <c r="AK155" s="99"/>
      <c r="AL155" s="28"/>
      <c r="AM155" s="5"/>
      <c r="AN155" s="27"/>
      <c r="AO155" s="5"/>
      <c r="AP155" s="27"/>
      <c r="AQ155" s="28"/>
      <c r="AR155" s="5"/>
      <c r="AS155" s="27"/>
      <c r="AT155" s="5"/>
      <c r="AU155" s="99"/>
      <c r="AV155" s="28"/>
      <c r="AW155" s="5"/>
      <c r="AX155" s="27"/>
      <c r="AY155" s="5"/>
      <c r="AZ155" s="27"/>
      <c r="BA155" s="28"/>
    </row>
    <row r="156" spans="3:53" x14ac:dyDescent="0.25">
      <c r="C156" s="5"/>
      <c r="D156" s="27"/>
      <c r="E156" s="5"/>
      <c r="F156" s="27"/>
      <c r="G156" s="5"/>
      <c r="H156" s="5"/>
      <c r="I156" s="27"/>
      <c r="J156" s="5"/>
      <c r="K156" s="27"/>
      <c r="L156" s="28"/>
      <c r="M156" s="5"/>
      <c r="N156" s="27"/>
      <c r="O156" s="5"/>
      <c r="P156" s="27"/>
      <c r="Q156" s="28"/>
      <c r="R156" s="5"/>
      <c r="S156" s="27"/>
      <c r="T156" s="5"/>
      <c r="U156" s="27"/>
      <c r="V156" s="28"/>
      <c r="W156" s="5"/>
      <c r="X156" s="27"/>
      <c r="Y156" s="5"/>
      <c r="Z156" s="27"/>
      <c r="AA156" s="28"/>
      <c r="AC156" s="5"/>
      <c r="AD156" s="27"/>
      <c r="AE156" s="5"/>
      <c r="AF156" s="27"/>
      <c r="AG156" s="5"/>
      <c r="AH156" s="5"/>
      <c r="AI156" s="27"/>
      <c r="AJ156" s="5"/>
      <c r="AK156" s="99"/>
      <c r="AL156" s="28"/>
      <c r="AM156" s="5"/>
      <c r="AN156" s="27"/>
      <c r="AO156" s="5"/>
      <c r="AP156" s="27"/>
      <c r="AQ156" s="28"/>
      <c r="AR156" s="5"/>
      <c r="AS156" s="27"/>
      <c r="AT156" s="5"/>
      <c r="AU156" s="99"/>
      <c r="AV156" s="28"/>
      <c r="AW156" s="5"/>
      <c r="AX156" s="27"/>
      <c r="AY156" s="5"/>
      <c r="AZ156" s="27"/>
      <c r="BA156" s="28"/>
    </row>
    <row r="157" spans="3:53" x14ac:dyDescent="0.25">
      <c r="C157" s="5"/>
      <c r="D157" s="27"/>
      <c r="E157" s="5"/>
      <c r="F157" s="27"/>
      <c r="G157" s="5"/>
      <c r="H157" s="5"/>
      <c r="I157" s="27"/>
      <c r="J157" s="5"/>
      <c r="K157" s="27"/>
      <c r="L157" s="28"/>
      <c r="M157" s="5"/>
      <c r="N157" s="27"/>
      <c r="O157" s="5"/>
      <c r="P157" s="27"/>
      <c r="Q157" s="28"/>
      <c r="R157" s="5"/>
      <c r="S157" s="27"/>
      <c r="T157" s="5"/>
      <c r="U157" s="27"/>
      <c r="V157" s="28"/>
      <c r="W157" s="5"/>
      <c r="X157" s="27"/>
      <c r="Y157" s="5"/>
      <c r="Z157" s="27"/>
      <c r="AA157" s="28"/>
      <c r="AC157" s="5"/>
      <c r="AD157" s="27"/>
      <c r="AE157" s="5"/>
      <c r="AF157" s="27"/>
      <c r="AG157" s="5"/>
      <c r="AH157" s="5"/>
      <c r="AI157" s="27"/>
      <c r="AJ157" s="5"/>
      <c r="AK157" s="99"/>
      <c r="AL157" s="28"/>
      <c r="AM157" s="5"/>
      <c r="AN157" s="27"/>
      <c r="AO157" s="5"/>
      <c r="AP157" s="27"/>
      <c r="AQ157" s="28"/>
      <c r="AR157" s="5"/>
      <c r="AS157" s="27"/>
      <c r="AT157" s="5"/>
      <c r="AU157" s="99"/>
      <c r="AV157" s="28"/>
      <c r="AW157" s="5"/>
      <c r="AX157" s="27"/>
      <c r="AY157" s="5"/>
      <c r="AZ157" s="27"/>
      <c r="BA157" s="28"/>
    </row>
    <row r="158" spans="3:53" x14ac:dyDescent="0.25">
      <c r="C158" s="5"/>
      <c r="D158" s="27"/>
      <c r="E158" s="5"/>
      <c r="F158" s="27"/>
      <c r="G158" s="5"/>
      <c r="H158" s="5"/>
      <c r="I158" s="27"/>
      <c r="J158" s="5"/>
      <c r="K158" s="27"/>
      <c r="L158" s="28"/>
      <c r="M158" s="5"/>
      <c r="N158" s="27"/>
      <c r="O158" s="5"/>
      <c r="P158" s="27"/>
      <c r="Q158" s="28"/>
      <c r="R158" s="5"/>
      <c r="S158" s="27"/>
      <c r="T158" s="5"/>
      <c r="U158" s="27"/>
      <c r="V158" s="28"/>
      <c r="W158" s="5"/>
      <c r="X158" s="27"/>
      <c r="Y158" s="5"/>
      <c r="Z158" s="27"/>
      <c r="AA158" s="28"/>
      <c r="AC158" s="5"/>
      <c r="AD158" s="27"/>
      <c r="AE158" s="5"/>
      <c r="AF158" s="27"/>
      <c r="AG158" s="5"/>
      <c r="AH158" s="5"/>
      <c r="AI158" s="27"/>
      <c r="AJ158" s="5"/>
      <c r="AK158" s="99"/>
      <c r="AL158" s="28"/>
      <c r="AM158" s="5"/>
      <c r="AN158" s="27"/>
      <c r="AO158" s="5"/>
      <c r="AP158" s="27"/>
      <c r="AQ158" s="28"/>
      <c r="AR158" s="5"/>
      <c r="AS158" s="27"/>
      <c r="AT158" s="5"/>
      <c r="AU158" s="99"/>
      <c r="AV158" s="28"/>
      <c r="AW158" s="5"/>
      <c r="AX158" s="27"/>
      <c r="AY158" s="5"/>
      <c r="AZ158" s="27"/>
      <c r="BA158" s="28"/>
    </row>
    <row r="159" spans="3:53" x14ac:dyDescent="0.25">
      <c r="C159" s="5"/>
      <c r="D159" s="27"/>
      <c r="E159" s="5"/>
      <c r="F159" s="27"/>
      <c r="G159" s="5"/>
      <c r="H159" s="5"/>
      <c r="I159" s="27"/>
      <c r="J159" s="5"/>
      <c r="K159" s="27"/>
      <c r="L159" s="28"/>
      <c r="M159" s="5"/>
      <c r="N159" s="27"/>
      <c r="O159" s="5"/>
      <c r="P159" s="27"/>
      <c r="Q159" s="28"/>
      <c r="R159" s="5"/>
      <c r="S159" s="27"/>
      <c r="T159" s="5"/>
      <c r="U159" s="27"/>
      <c r="V159" s="28"/>
      <c r="W159" s="5"/>
      <c r="X159" s="27"/>
      <c r="Y159" s="5"/>
      <c r="Z159" s="27"/>
      <c r="AA159" s="28"/>
      <c r="AC159" s="5"/>
      <c r="AD159" s="27"/>
      <c r="AE159" s="5"/>
      <c r="AF159" s="27"/>
      <c r="AG159" s="5"/>
      <c r="AH159" s="5"/>
      <c r="AI159" s="27"/>
      <c r="AJ159" s="5"/>
      <c r="AK159" s="99"/>
      <c r="AL159" s="28"/>
      <c r="AM159" s="5"/>
      <c r="AN159" s="27"/>
      <c r="AO159" s="5"/>
      <c r="AP159" s="27"/>
      <c r="AQ159" s="28"/>
      <c r="AR159" s="5"/>
      <c r="AS159" s="27"/>
      <c r="AT159" s="5"/>
      <c r="AU159" s="99"/>
      <c r="AV159" s="28"/>
      <c r="AW159" s="5"/>
      <c r="AX159" s="27"/>
      <c r="AY159" s="5"/>
      <c r="AZ159" s="27"/>
      <c r="BA159" s="28"/>
    </row>
    <row r="160" spans="3:53" x14ac:dyDescent="0.25">
      <c r="C160" s="5"/>
      <c r="D160" s="27"/>
      <c r="E160" s="5"/>
      <c r="F160" s="27"/>
      <c r="G160" s="5"/>
      <c r="H160" s="5"/>
      <c r="I160" s="27"/>
      <c r="J160" s="5"/>
      <c r="K160" s="27"/>
      <c r="L160" s="28"/>
      <c r="M160" s="5"/>
      <c r="N160" s="27"/>
      <c r="O160" s="5"/>
      <c r="P160" s="27"/>
      <c r="Q160" s="28"/>
      <c r="R160" s="5"/>
      <c r="S160" s="27"/>
      <c r="T160" s="5"/>
      <c r="U160" s="27"/>
      <c r="V160" s="28"/>
      <c r="W160" s="5"/>
      <c r="X160" s="27"/>
      <c r="Y160" s="5"/>
      <c r="Z160" s="27"/>
      <c r="AA160" s="28"/>
      <c r="AC160" s="5"/>
      <c r="AD160" s="27"/>
      <c r="AE160" s="5"/>
      <c r="AF160" s="27"/>
      <c r="AG160" s="5"/>
      <c r="AH160" s="5"/>
      <c r="AI160" s="27"/>
      <c r="AJ160" s="5"/>
      <c r="AK160" s="99"/>
      <c r="AL160" s="28"/>
      <c r="AM160" s="5"/>
      <c r="AN160" s="27"/>
      <c r="AO160" s="5"/>
      <c r="AP160" s="27"/>
      <c r="AQ160" s="28"/>
      <c r="AR160" s="5"/>
      <c r="AS160" s="27"/>
      <c r="AT160" s="5"/>
      <c r="AU160" s="99"/>
      <c r="AV160" s="28"/>
      <c r="AW160" s="5"/>
      <c r="AX160" s="27"/>
      <c r="AY160" s="5"/>
      <c r="AZ160" s="27"/>
      <c r="BA160" s="28"/>
    </row>
    <row r="161" spans="3:53" x14ac:dyDescent="0.25">
      <c r="C161" s="5"/>
      <c r="D161" s="27"/>
      <c r="E161" s="5"/>
      <c r="F161" s="27"/>
      <c r="G161" s="5"/>
      <c r="H161" s="5"/>
      <c r="I161" s="27"/>
      <c r="J161" s="5"/>
      <c r="K161" s="27"/>
      <c r="L161" s="28"/>
      <c r="M161" s="5"/>
      <c r="N161" s="27"/>
      <c r="O161" s="5"/>
      <c r="P161" s="27"/>
      <c r="Q161" s="28"/>
      <c r="R161" s="5"/>
      <c r="S161" s="27"/>
      <c r="T161" s="5"/>
      <c r="U161" s="27"/>
      <c r="V161" s="28"/>
      <c r="W161" s="5"/>
      <c r="X161" s="27"/>
      <c r="Y161" s="5"/>
      <c r="Z161" s="27"/>
      <c r="AA161" s="28"/>
      <c r="AC161" s="5"/>
      <c r="AD161" s="27"/>
      <c r="AE161" s="5"/>
      <c r="AF161" s="27"/>
      <c r="AG161" s="5"/>
      <c r="AH161" s="5"/>
      <c r="AI161" s="27"/>
      <c r="AJ161" s="5"/>
      <c r="AK161" s="99"/>
      <c r="AL161" s="28"/>
      <c r="AM161" s="5"/>
      <c r="AN161" s="27"/>
      <c r="AO161" s="5"/>
      <c r="AP161" s="27"/>
      <c r="AQ161" s="28"/>
      <c r="AR161" s="5"/>
      <c r="AS161" s="27"/>
      <c r="AT161" s="5"/>
      <c r="AU161" s="99"/>
      <c r="AV161" s="28"/>
      <c r="AW161" s="5"/>
      <c r="AX161" s="27"/>
      <c r="AY161" s="5"/>
      <c r="AZ161" s="27"/>
      <c r="BA161" s="28"/>
    </row>
    <row r="162" spans="3:53" x14ac:dyDescent="0.25">
      <c r="C162" s="5"/>
      <c r="D162" s="27"/>
      <c r="E162" s="5"/>
      <c r="F162" s="27"/>
      <c r="G162" s="5"/>
      <c r="H162" s="5"/>
      <c r="I162" s="27"/>
      <c r="J162" s="5"/>
      <c r="K162" s="27"/>
      <c r="L162" s="28"/>
      <c r="M162" s="5"/>
      <c r="N162" s="27"/>
      <c r="O162" s="5"/>
      <c r="P162" s="27"/>
      <c r="Q162" s="28"/>
      <c r="R162" s="5"/>
      <c r="S162" s="27"/>
      <c r="T162" s="5"/>
      <c r="U162" s="27"/>
      <c r="V162" s="28"/>
      <c r="W162" s="5"/>
      <c r="X162" s="27"/>
      <c r="Y162" s="5"/>
      <c r="Z162" s="27"/>
      <c r="AA162" s="28"/>
      <c r="AC162" s="5"/>
      <c r="AD162" s="27"/>
      <c r="AE162" s="5"/>
      <c r="AF162" s="27"/>
      <c r="AG162" s="5"/>
      <c r="AH162" s="5"/>
      <c r="AI162" s="27"/>
      <c r="AJ162" s="5"/>
      <c r="AK162" s="99"/>
      <c r="AL162" s="28"/>
      <c r="AM162" s="5"/>
      <c r="AN162" s="27"/>
      <c r="AO162" s="5"/>
      <c r="AP162" s="27"/>
      <c r="AQ162" s="28"/>
      <c r="AR162" s="5"/>
      <c r="AS162" s="27"/>
      <c r="AT162" s="5"/>
      <c r="AU162" s="99"/>
      <c r="AV162" s="28"/>
      <c r="AW162" s="5"/>
      <c r="AX162" s="27"/>
      <c r="AY162" s="5"/>
      <c r="AZ162" s="27"/>
      <c r="BA162" s="28"/>
    </row>
    <row r="163" spans="3:53" x14ac:dyDescent="0.25">
      <c r="C163" s="5"/>
      <c r="D163" s="27"/>
      <c r="E163" s="5"/>
      <c r="F163" s="27"/>
      <c r="G163" s="5"/>
      <c r="H163" s="5"/>
      <c r="I163" s="27"/>
      <c r="J163" s="5"/>
      <c r="K163" s="27"/>
      <c r="L163" s="28"/>
      <c r="M163" s="5"/>
      <c r="N163" s="27"/>
      <c r="O163" s="5"/>
      <c r="P163" s="27"/>
      <c r="Q163" s="28"/>
      <c r="R163" s="5"/>
      <c r="S163" s="27"/>
      <c r="T163" s="5"/>
      <c r="U163" s="27"/>
      <c r="V163" s="28"/>
      <c r="W163" s="5"/>
      <c r="X163" s="27"/>
      <c r="Y163" s="5"/>
      <c r="Z163" s="27"/>
      <c r="AA163" s="28"/>
      <c r="AC163" s="5"/>
      <c r="AD163" s="27"/>
      <c r="AE163" s="5"/>
      <c r="AF163" s="27"/>
      <c r="AG163" s="5"/>
      <c r="AH163" s="5"/>
      <c r="AI163" s="27"/>
      <c r="AJ163" s="5"/>
      <c r="AK163" s="99"/>
      <c r="AL163" s="28"/>
      <c r="AM163" s="5"/>
      <c r="AN163" s="27"/>
      <c r="AO163" s="5"/>
      <c r="AP163" s="27"/>
      <c r="AQ163" s="28"/>
      <c r="AR163" s="5"/>
      <c r="AS163" s="27"/>
      <c r="AT163" s="5"/>
      <c r="AU163" s="99"/>
      <c r="AV163" s="28"/>
      <c r="AW163" s="5"/>
      <c r="AX163" s="27"/>
      <c r="AY163" s="5"/>
      <c r="AZ163" s="27"/>
      <c r="BA163" s="28"/>
    </row>
    <row r="164" spans="3:53" x14ac:dyDescent="0.25">
      <c r="C164" s="5"/>
      <c r="D164" s="27"/>
      <c r="E164" s="5"/>
      <c r="F164" s="27"/>
      <c r="G164" s="5"/>
      <c r="H164" s="5"/>
      <c r="I164" s="27"/>
      <c r="J164" s="5"/>
      <c r="K164" s="5"/>
      <c r="L164" s="28"/>
      <c r="M164" s="5"/>
      <c r="N164" s="27"/>
      <c r="O164" s="5"/>
      <c r="P164" s="5"/>
      <c r="Q164" s="28"/>
      <c r="R164" s="5"/>
      <c r="S164" s="27"/>
      <c r="T164" s="5"/>
      <c r="U164" s="5"/>
      <c r="V164" s="28"/>
      <c r="W164" s="5"/>
      <c r="X164" s="27"/>
      <c r="Y164" s="5"/>
      <c r="Z164" s="5"/>
      <c r="AA164" s="28"/>
      <c r="AC164" s="5"/>
      <c r="AD164" s="27"/>
      <c r="AE164" s="5"/>
      <c r="AF164" s="27"/>
      <c r="AG164" s="5"/>
      <c r="AH164" s="5"/>
      <c r="AI164" s="27"/>
      <c r="AJ164" s="5"/>
      <c r="AK164" s="99"/>
      <c r="AL164" s="28"/>
      <c r="AM164" s="5"/>
      <c r="AN164" s="27"/>
      <c r="AO164" s="5"/>
      <c r="AP164" s="27"/>
      <c r="AQ164" s="28"/>
      <c r="AR164" s="5"/>
      <c r="AS164" s="27"/>
      <c r="AT164" s="5"/>
      <c r="AU164" s="99"/>
      <c r="AV164" s="28"/>
      <c r="AW164" s="5"/>
      <c r="AX164" s="27"/>
      <c r="AY164" s="5"/>
      <c r="AZ164" s="5"/>
      <c r="BA164" s="28"/>
    </row>
    <row r="165" spans="3:53" x14ac:dyDescent="0.25">
      <c r="C165" s="5"/>
      <c r="D165" s="27"/>
      <c r="E165" s="5"/>
      <c r="F165" s="27"/>
      <c r="G165" s="5"/>
      <c r="H165" s="5"/>
      <c r="I165" s="27"/>
      <c r="J165" s="5"/>
      <c r="K165" s="5"/>
      <c r="L165" s="28"/>
      <c r="M165" s="5"/>
      <c r="N165" s="27"/>
      <c r="O165" s="5"/>
      <c r="P165" s="5"/>
      <c r="Q165" s="28"/>
      <c r="R165" s="5"/>
      <c r="S165" s="27"/>
      <c r="T165" s="5"/>
      <c r="U165" s="5"/>
      <c r="V165" s="28"/>
      <c r="W165" s="5"/>
      <c r="X165" s="27"/>
      <c r="Y165" s="5"/>
      <c r="Z165" s="5"/>
      <c r="AA165" s="28"/>
      <c r="AC165" s="5"/>
      <c r="AD165" s="27"/>
      <c r="AE165" s="5"/>
      <c r="AF165" s="27"/>
      <c r="AG165" s="5"/>
      <c r="AH165" s="5"/>
      <c r="AI165" s="27"/>
      <c r="AJ165" s="5"/>
      <c r="AK165" s="99"/>
      <c r="AL165" s="28"/>
      <c r="AM165" s="5"/>
      <c r="AN165" s="27"/>
      <c r="AO165" s="5"/>
      <c r="AP165" s="27"/>
      <c r="AQ165" s="28"/>
      <c r="AR165" s="5"/>
      <c r="AS165" s="27"/>
      <c r="AT165" s="5"/>
      <c r="AU165" s="99"/>
      <c r="AV165" s="28"/>
      <c r="AW165" s="5"/>
      <c r="AX165" s="27"/>
      <c r="AY165" s="5"/>
      <c r="AZ165" s="5"/>
      <c r="BA165" s="28"/>
    </row>
    <row r="166" spans="3:53" x14ac:dyDescent="0.25">
      <c r="C166" s="5"/>
      <c r="D166" s="27"/>
      <c r="E166" s="5"/>
      <c r="F166" s="27"/>
      <c r="G166" s="5"/>
      <c r="H166" s="5"/>
      <c r="I166" s="27"/>
      <c r="J166" s="5"/>
      <c r="K166" s="5"/>
      <c r="L166" s="28"/>
      <c r="M166" s="5"/>
      <c r="N166" s="27"/>
      <c r="O166" s="5"/>
      <c r="P166" s="5"/>
      <c r="Q166" s="28"/>
      <c r="R166" s="5"/>
      <c r="S166" s="27"/>
      <c r="T166" s="5"/>
      <c r="U166" s="5"/>
      <c r="V166" s="28"/>
      <c r="W166" s="5"/>
      <c r="X166" s="27"/>
      <c r="Y166" s="5"/>
      <c r="Z166" s="5"/>
      <c r="AA166" s="28"/>
      <c r="AC166" s="5"/>
      <c r="AD166" s="27"/>
      <c r="AE166" s="5"/>
      <c r="AF166" s="27"/>
      <c r="AG166" s="5"/>
      <c r="AH166" s="5"/>
      <c r="AI166" s="27"/>
      <c r="AJ166" s="5"/>
      <c r="AK166" s="99"/>
      <c r="AL166" s="28"/>
      <c r="AM166" s="5"/>
      <c r="AN166" s="27"/>
      <c r="AO166" s="5"/>
      <c r="AP166" s="27"/>
      <c r="AQ166" s="28"/>
      <c r="AR166" s="5"/>
      <c r="AS166" s="27"/>
      <c r="AT166" s="5"/>
      <c r="AU166" s="99"/>
      <c r="AV166" s="28"/>
      <c r="AW166" s="5"/>
      <c r="AX166" s="27"/>
      <c r="AY166" s="5"/>
      <c r="AZ166" s="5"/>
      <c r="BA166" s="28"/>
    </row>
    <row r="167" spans="3:53" x14ac:dyDescent="0.25">
      <c r="C167" s="5"/>
      <c r="D167" s="27"/>
      <c r="E167" s="5"/>
      <c r="F167" s="27"/>
      <c r="G167" s="5"/>
      <c r="H167" s="5"/>
      <c r="I167" s="27"/>
      <c r="J167" s="5"/>
      <c r="K167" s="5"/>
      <c r="L167" s="28"/>
      <c r="M167" s="5"/>
      <c r="N167" s="27"/>
      <c r="O167" s="5"/>
      <c r="P167" s="5"/>
      <c r="Q167" s="28"/>
      <c r="R167" s="5"/>
      <c r="S167" s="27"/>
      <c r="T167" s="5"/>
      <c r="U167" s="5"/>
      <c r="V167" s="28"/>
      <c r="W167" s="5"/>
      <c r="X167" s="27"/>
      <c r="Y167" s="5"/>
      <c r="Z167" s="5"/>
      <c r="AA167" s="28"/>
      <c r="AC167" s="5"/>
      <c r="AD167" s="27"/>
      <c r="AE167" s="5"/>
      <c r="AF167" s="27"/>
      <c r="AG167" s="5"/>
      <c r="AH167" s="5"/>
      <c r="AI167" s="27"/>
      <c r="AJ167" s="5"/>
      <c r="AK167" s="99"/>
      <c r="AL167" s="28"/>
      <c r="AM167" s="5"/>
      <c r="AN167" s="27"/>
      <c r="AO167" s="5"/>
      <c r="AP167" s="27"/>
      <c r="AQ167" s="28"/>
      <c r="AR167" s="5"/>
      <c r="AS167" s="27"/>
      <c r="AT167" s="5"/>
      <c r="AU167" s="99"/>
      <c r="AV167" s="28"/>
      <c r="AW167" s="5"/>
      <c r="AX167" s="27"/>
      <c r="AY167" s="5"/>
      <c r="AZ167" s="5"/>
      <c r="BA167" s="28"/>
    </row>
    <row r="168" spans="3:53" x14ac:dyDescent="0.25">
      <c r="C168" s="5"/>
      <c r="D168" s="27"/>
      <c r="E168" s="5"/>
      <c r="F168" s="27"/>
      <c r="G168" s="5"/>
      <c r="H168" s="5"/>
      <c r="I168" s="27"/>
      <c r="J168" s="5"/>
      <c r="K168" s="5"/>
      <c r="L168" s="28"/>
      <c r="M168" s="5"/>
      <c r="N168" s="27"/>
      <c r="O168" s="5"/>
      <c r="P168" s="5"/>
      <c r="Q168" s="28"/>
      <c r="R168" s="5"/>
      <c r="S168" s="27"/>
      <c r="T168" s="5"/>
      <c r="U168" s="5"/>
      <c r="V168" s="28"/>
      <c r="W168" s="5"/>
      <c r="X168" s="27"/>
      <c r="Y168" s="5"/>
      <c r="Z168" s="5"/>
      <c r="AA168" s="28"/>
      <c r="AC168" s="5"/>
      <c r="AD168" s="27"/>
      <c r="AE168" s="5"/>
      <c r="AF168" s="27"/>
      <c r="AG168" s="5"/>
      <c r="AH168" s="5"/>
      <c r="AI168" s="27"/>
      <c r="AJ168" s="5"/>
      <c r="AK168" s="99"/>
      <c r="AL168" s="28"/>
      <c r="AM168" s="5"/>
      <c r="AN168" s="27"/>
      <c r="AO168" s="5"/>
      <c r="AP168" s="27"/>
      <c r="AQ168" s="28"/>
      <c r="AR168" s="5"/>
      <c r="AS168" s="27"/>
      <c r="AT168" s="5"/>
      <c r="AU168" s="99"/>
      <c r="AV168" s="28"/>
      <c r="AW168" s="5"/>
      <c r="AX168" s="27"/>
      <c r="AY168" s="5"/>
      <c r="AZ168" s="5"/>
      <c r="BA168" s="28"/>
    </row>
    <row r="169" spans="3:53" x14ac:dyDescent="0.25">
      <c r="C169" s="5"/>
      <c r="D169" s="27"/>
      <c r="E169" s="5"/>
      <c r="F169" s="27"/>
      <c r="G169" s="5"/>
      <c r="H169" s="5"/>
      <c r="I169" s="27"/>
      <c r="J169" s="5"/>
      <c r="K169" s="5"/>
      <c r="L169" s="28"/>
      <c r="M169" s="5"/>
      <c r="N169" s="27"/>
      <c r="O169" s="5"/>
      <c r="P169" s="5"/>
      <c r="Q169" s="28"/>
      <c r="R169" s="5"/>
      <c r="S169" s="27"/>
      <c r="T169" s="5"/>
      <c r="U169" s="5"/>
      <c r="V169" s="28"/>
      <c r="W169" s="5"/>
      <c r="X169" s="27"/>
      <c r="Y169" s="5"/>
      <c r="Z169" s="5"/>
      <c r="AA169" s="28"/>
      <c r="AC169" s="5"/>
      <c r="AD169" s="27"/>
      <c r="AE169" s="5"/>
      <c r="AF169" s="27"/>
      <c r="AG169" s="5"/>
      <c r="AH169" s="5"/>
      <c r="AI169" s="27"/>
      <c r="AJ169" s="5"/>
      <c r="AK169" s="99"/>
      <c r="AL169" s="28"/>
      <c r="AM169" s="5"/>
      <c r="AN169" s="27"/>
      <c r="AO169" s="5"/>
      <c r="AP169" s="27"/>
      <c r="AQ169" s="28"/>
      <c r="AR169" s="5"/>
      <c r="AS169" s="27"/>
      <c r="AT169" s="5"/>
      <c r="AU169" s="99"/>
      <c r="AV169" s="28"/>
      <c r="AW169" s="5"/>
      <c r="AX169" s="27"/>
      <c r="AY169" s="5"/>
      <c r="AZ169" s="5"/>
      <c r="BA169" s="28"/>
    </row>
    <row r="170" spans="3:53" x14ac:dyDescent="0.25">
      <c r="C170" s="5"/>
      <c r="D170" s="27"/>
      <c r="E170" s="5"/>
      <c r="F170" s="27"/>
      <c r="G170" s="5"/>
      <c r="H170" s="5"/>
      <c r="I170" s="27"/>
      <c r="J170" s="5"/>
      <c r="K170" s="5"/>
      <c r="L170" s="28"/>
      <c r="M170" s="5"/>
      <c r="N170" s="27"/>
      <c r="O170" s="5"/>
      <c r="P170" s="5"/>
      <c r="Q170" s="28"/>
      <c r="R170" s="5"/>
      <c r="S170" s="27"/>
      <c r="T170" s="5"/>
      <c r="U170" s="5"/>
      <c r="V170" s="28"/>
      <c r="W170" s="5"/>
      <c r="X170" s="27"/>
      <c r="Y170" s="5"/>
      <c r="Z170" s="5"/>
      <c r="AA170" s="28"/>
      <c r="AC170" s="5"/>
      <c r="AD170" s="27"/>
      <c r="AE170" s="5"/>
      <c r="AF170" s="27"/>
      <c r="AG170" s="5"/>
      <c r="AH170" s="5"/>
      <c r="AI170" s="27"/>
      <c r="AJ170" s="5"/>
      <c r="AK170" s="99"/>
      <c r="AL170" s="28"/>
      <c r="AM170" s="5"/>
      <c r="AN170" s="27"/>
      <c r="AO170" s="5"/>
      <c r="AP170" s="27"/>
      <c r="AQ170" s="28"/>
      <c r="AR170" s="5"/>
      <c r="AS170" s="27"/>
      <c r="AT170" s="5"/>
      <c r="AU170" s="99"/>
      <c r="AV170" s="28"/>
      <c r="AW170" s="5"/>
      <c r="AX170" s="27"/>
      <c r="AY170" s="5"/>
      <c r="AZ170" s="5"/>
      <c r="BA170" s="28"/>
    </row>
    <row r="171" spans="3:53" x14ac:dyDescent="0.25">
      <c r="C171" s="5"/>
      <c r="D171" s="27"/>
      <c r="E171" s="5"/>
      <c r="F171" s="27"/>
      <c r="G171" s="5"/>
      <c r="H171" s="5"/>
      <c r="I171" s="27"/>
      <c r="J171" s="5"/>
      <c r="K171" s="5"/>
      <c r="L171" s="28"/>
      <c r="M171" s="5"/>
      <c r="N171" s="27"/>
      <c r="O171" s="5"/>
      <c r="P171" s="5"/>
      <c r="Q171" s="28"/>
      <c r="R171" s="5"/>
      <c r="S171" s="27"/>
      <c r="T171" s="5"/>
      <c r="U171" s="5"/>
      <c r="V171" s="28"/>
      <c r="W171" s="5"/>
      <c r="X171" s="27"/>
      <c r="Y171" s="5"/>
      <c r="Z171" s="5"/>
      <c r="AA171" s="28"/>
      <c r="AC171" s="5"/>
      <c r="AD171" s="27"/>
      <c r="AE171" s="5"/>
      <c r="AF171" s="27"/>
      <c r="AG171" s="5"/>
      <c r="AH171" s="5"/>
      <c r="AI171" s="27"/>
      <c r="AJ171" s="5"/>
      <c r="AK171" s="99"/>
      <c r="AL171" s="28"/>
      <c r="AM171" s="5"/>
      <c r="AN171" s="27"/>
      <c r="AO171" s="5"/>
      <c r="AP171" s="27"/>
      <c r="AQ171" s="28"/>
      <c r="AR171" s="5"/>
      <c r="AS171" s="27"/>
      <c r="AT171" s="5"/>
      <c r="AU171" s="99"/>
      <c r="AV171" s="28"/>
      <c r="AW171" s="5"/>
      <c r="AX171" s="27"/>
      <c r="AY171" s="5"/>
      <c r="AZ171" s="5"/>
      <c r="BA171" s="28"/>
    </row>
    <row r="172" spans="3:53" x14ac:dyDescent="0.25">
      <c r="C172" s="5"/>
      <c r="D172" s="27"/>
      <c r="E172" s="5"/>
      <c r="F172" s="27"/>
      <c r="G172" s="5"/>
      <c r="H172" s="5"/>
      <c r="I172" s="27"/>
      <c r="J172" s="5"/>
      <c r="K172" s="5"/>
      <c r="L172" s="28"/>
      <c r="M172" s="5"/>
      <c r="N172" s="27"/>
      <c r="O172" s="5"/>
      <c r="P172" s="5"/>
      <c r="Q172" s="28"/>
      <c r="R172" s="5"/>
      <c r="S172" s="27"/>
      <c r="T172" s="5"/>
      <c r="U172" s="5"/>
      <c r="V172" s="28"/>
      <c r="W172" s="5"/>
      <c r="X172" s="27"/>
      <c r="Y172" s="5"/>
      <c r="Z172" s="5"/>
      <c r="AA172" s="28"/>
      <c r="AC172" s="5"/>
      <c r="AD172" s="27"/>
      <c r="AE172" s="5"/>
      <c r="AF172" s="27"/>
      <c r="AG172" s="5"/>
      <c r="AH172" s="5"/>
      <c r="AI172" s="27"/>
      <c r="AJ172" s="5"/>
      <c r="AK172" s="99"/>
      <c r="AL172" s="28"/>
      <c r="AM172" s="5"/>
      <c r="AN172" s="27"/>
      <c r="AO172" s="5"/>
      <c r="AP172" s="27"/>
      <c r="AQ172" s="28"/>
      <c r="AR172" s="5"/>
      <c r="AS172" s="27"/>
      <c r="AT172" s="5"/>
      <c r="AU172" s="99"/>
      <c r="AV172" s="28"/>
      <c r="AW172" s="5"/>
      <c r="AX172" s="27"/>
      <c r="AY172" s="5"/>
      <c r="AZ172" s="5"/>
      <c r="BA172" s="28"/>
    </row>
    <row r="173" spans="3:53" x14ac:dyDescent="0.25">
      <c r="C173" s="5"/>
      <c r="D173" s="27"/>
      <c r="E173" s="5"/>
      <c r="F173" s="27"/>
      <c r="G173" s="5"/>
      <c r="H173" s="5"/>
      <c r="I173" s="27"/>
      <c r="J173" s="5"/>
      <c r="K173" s="5"/>
      <c r="L173" s="28"/>
      <c r="M173" s="5"/>
      <c r="N173" s="27"/>
      <c r="O173" s="5"/>
      <c r="P173" s="5"/>
      <c r="Q173" s="28"/>
      <c r="R173" s="5"/>
      <c r="S173" s="27"/>
      <c r="T173" s="5"/>
      <c r="U173" s="5"/>
      <c r="V173" s="28"/>
      <c r="W173" s="5"/>
      <c r="X173" s="27"/>
      <c r="Y173" s="5"/>
      <c r="Z173" s="5"/>
      <c r="AA173" s="28"/>
      <c r="AC173" s="5"/>
      <c r="AD173" s="27"/>
      <c r="AE173" s="5"/>
      <c r="AF173" s="27"/>
      <c r="AG173" s="5"/>
      <c r="AH173" s="5"/>
      <c r="AI173" s="27"/>
      <c r="AJ173" s="5"/>
      <c r="AK173" s="99"/>
      <c r="AL173" s="28"/>
      <c r="AM173" s="5"/>
      <c r="AN173" s="27"/>
      <c r="AO173" s="5"/>
      <c r="AP173" s="27"/>
      <c r="AQ173" s="28"/>
      <c r="AR173" s="5"/>
      <c r="AS173" s="27"/>
      <c r="AT173" s="5"/>
      <c r="AU173" s="99"/>
      <c r="AV173" s="28"/>
      <c r="AW173" s="5"/>
      <c r="AX173" s="27"/>
      <c r="AY173" s="5"/>
      <c r="AZ173" s="5"/>
      <c r="BA173" s="28"/>
    </row>
    <row r="174" spans="3:53" x14ac:dyDescent="0.25">
      <c r="C174" s="5"/>
      <c r="D174" s="27"/>
      <c r="E174" s="5"/>
      <c r="F174" s="27"/>
      <c r="G174" s="5"/>
      <c r="H174" s="5"/>
      <c r="I174" s="27"/>
      <c r="J174" s="5"/>
      <c r="K174" s="5"/>
      <c r="L174" s="28"/>
      <c r="M174" s="5"/>
      <c r="N174" s="27"/>
      <c r="O174" s="5"/>
      <c r="P174" s="5"/>
      <c r="Q174" s="28"/>
      <c r="R174" s="5"/>
      <c r="S174" s="27"/>
      <c r="T174" s="5"/>
      <c r="U174" s="5"/>
      <c r="V174" s="28"/>
      <c r="W174" s="5"/>
      <c r="X174" s="27"/>
      <c r="Y174" s="5"/>
      <c r="Z174" s="5"/>
      <c r="AA174" s="28"/>
      <c r="AC174" s="5"/>
      <c r="AD174" s="27"/>
      <c r="AE174" s="5"/>
      <c r="AF174" s="27"/>
      <c r="AG174" s="5"/>
      <c r="AH174" s="5"/>
      <c r="AI174" s="27"/>
      <c r="AJ174" s="5"/>
      <c r="AK174" s="99"/>
      <c r="AL174" s="28"/>
      <c r="AM174" s="5"/>
      <c r="AN174" s="27"/>
      <c r="AO174" s="5"/>
      <c r="AP174" s="27"/>
      <c r="AQ174" s="28"/>
      <c r="AR174" s="5"/>
      <c r="AS174" s="27"/>
      <c r="AT174" s="5"/>
      <c r="AU174" s="99"/>
      <c r="AV174" s="28"/>
      <c r="AW174" s="5"/>
      <c r="AX174" s="27"/>
      <c r="AY174" s="5"/>
      <c r="AZ174" s="5"/>
      <c r="BA174" s="28"/>
    </row>
    <row r="175" spans="3:53" x14ac:dyDescent="0.25">
      <c r="C175" s="5"/>
      <c r="D175" s="27"/>
      <c r="E175" s="5"/>
      <c r="F175" s="27"/>
      <c r="G175" s="5"/>
      <c r="H175" s="5"/>
      <c r="I175" s="27"/>
      <c r="J175" s="5"/>
      <c r="K175" s="5"/>
      <c r="L175" s="28"/>
      <c r="M175" s="5"/>
      <c r="N175" s="27"/>
      <c r="O175" s="5"/>
      <c r="P175" s="5"/>
      <c r="Q175" s="28"/>
      <c r="R175" s="5"/>
      <c r="S175" s="27"/>
      <c r="T175" s="5"/>
      <c r="U175" s="5"/>
      <c r="V175" s="28"/>
      <c r="W175" s="5"/>
      <c r="X175" s="27"/>
      <c r="Y175" s="5"/>
      <c r="Z175" s="5"/>
      <c r="AA175" s="28"/>
      <c r="AC175" s="5"/>
      <c r="AD175" s="27"/>
      <c r="AE175" s="5"/>
      <c r="AF175" s="27"/>
      <c r="AG175" s="5"/>
      <c r="AH175" s="5"/>
      <c r="AI175" s="27"/>
      <c r="AJ175" s="5"/>
      <c r="AK175" s="99"/>
      <c r="AL175" s="28"/>
      <c r="AM175" s="5"/>
      <c r="AN175" s="27"/>
      <c r="AO175" s="5"/>
      <c r="AP175" s="27"/>
      <c r="AQ175" s="28"/>
      <c r="AR175" s="5"/>
      <c r="AS175" s="27"/>
      <c r="AT175" s="5"/>
      <c r="AU175" s="99"/>
      <c r="AV175" s="28"/>
      <c r="AW175" s="5"/>
      <c r="AX175" s="27"/>
      <c r="AY175" s="5"/>
      <c r="AZ175" s="5"/>
      <c r="BA175" s="28"/>
    </row>
    <row r="176" spans="3:53" x14ac:dyDescent="0.25">
      <c r="C176" s="5"/>
      <c r="D176" s="27"/>
      <c r="E176" s="5"/>
      <c r="F176" s="27"/>
      <c r="G176" s="5"/>
      <c r="H176" s="5"/>
      <c r="I176" s="27"/>
      <c r="J176" s="5"/>
      <c r="K176" s="5"/>
      <c r="L176" s="28"/>
      <c r="M176" s="5"/>
      <c r="N176" s="27"/>
      <c r="O176" s="5"/>
      <c r="P176" s="5"/>
      <c r="Q176" s="28"/>
      <c r="R176" s="5"/>
      <c r="S176" s="27"/>
      <c r="T176" s="5"/>
      <c r="U176" s="5"/>
      <c r="V176" s="28"/>
      <c r="W176" s="5"/>
      <c r="X176" s="27"/>
      <c r="Y176" s="5"/>
      <c r="Z176" s="5"/>
      <c r="AA176" s="28"/>
      <c r="AC176" s="5"/>
      <c r="AD176" s="27"/>
      <c r="AE176" s="5"/>
      <c r="AF176" s="27"/>
      <c r="AG176" s="5"/>
      <c r="AH176" s="5"/>
      <c r="AI176" s="27"/>
      <c r="AJ176" s="5"/>
      <c r="AK176" s="99"/>
      <c r="AL176" s="28"/>
      <c r="AM176" s="5"/>
      <c r="AN176" s="27"/>
      <c r="AO176" s="5"/>
      <c r="AP176" s="27"/>
      <c r="AQ176" s="28"/>
      <c r="AR176" s="5"/>
      <c r="AS176" s="27"/>
      <c r="AT176" s="5"/>
      <c r="AU176" s="99"/>
      <c r="AV176" s="28"/>
      <c r="AW176" s="5"/>
      <c r="AX176" s="27"/>
      <c r="AY176" s="5"/>
      <c r="AZ176" s="5"/>
      <c r="BA176" s="28"/>
    </row>
    <row r="177" spans="3:53" x14ac:dyDescent="0.25">
      <c r="C177" s="5"/>
      <c r="D177" s="27"/>
      <c r="E177" s="5"/>
      <c r="F177" s="27"/>
      <c r="G177" s="5"/>
      <c r="H177" s="5"/>
      <c r="I177" s="27"/>
      <c r="J177" s="5"/>
      <c r="K177" s="5"/>
      <c r="L177" s="28"/>
      <c r="M177" s="5"/>
      <c r="N177" s="27"/>
      <c r="O177" s="5"/>
      <c r="P177" s="5"/>
      <c r="Q177" s="28"/>
      <c r="R177" s="5"/>
      <c r="S177" s="27"/>
      <c r="T177" s="5"/>
      <c r="U177" s="5"/>
      <c r="V177" s="28"/>
      <c r="W177" s="5"/>
      <c r="X177" s="27"/>
      <c r="Y177" s="5"/>
      <c r="Z177" s="5"/>
      <c r="AA177" s="28"/>
      <c r="AC177" s="5"/>
      <c r="AD177" s="27"/>
      <c r="AE177" s="5"/>
      <c r="AF177" s="27"/>
      <c r="AG177" s="5"/>
      <c r="AH177" s="5"/>
      <c r="AI177" s="27"/>
      <c r="AJ177" s="5"/>
      <c r="AK177" s="99"/>
      <c r="AL177" s="28"/>
      <c r="AM177" s="5"/>
      <c r="AN177" s="27"/>
      <c r="AO177" s="5"/>
      <c r="AP177" s="27"/>
      <c r="AQ177" s="28"/>
      <c r="AR177" s="5"/>
      <c r="AS177" s="27"/>
      <c r="AT177" s="5"/>
      <c r="AU177" s="99"/>
      <c r="AV177" s="28"/>
      <c r="AW177" s="5"/>
      <c r="AX177" s="27"/>
      <c r="AY177" s="5"/>
      <c r="AZ177" s="5"/>
      <c r="BA177" s="28"/>
    </row>
    <row r="178" spans="3:53" x14ac:dyDescent="0.25">
      <c r="C178" s="5"/>
      <c r="D178" s="27"/>
      <c r="E178" s="5"/>
      <c r="F178" s="27"/>
      <c r="G178" s="5"/>
      <c r="H178" s="5"/>
      <c r="I178" s="27"/>
      <c r="J178" s="5"/>
      <c r="K178" s="5"/>
      <c r="L178" s="28"/>
      <c r="M178" s="5"/>
      <c r="N178" s="27"/>
      <c r="O178" s="5"/>
      <c r="P178" s="5"/>
      <c r="Q178" s="28"/>
      <c r="R178" s="5"/>
      <c r="S178" s="27"/>
      <c r="T178" s="5"/>
      <c r="U178" s="5"/>
      <c r="V178" s="28"/>
      <c r="W178" s="5"/>
      <c r="X178" s="27"/>
      <c r="Y178" s="5"/>
      <c r="Z178" s="5"/>
      <c r="AA178" s="28"/>
      <c r="AC178" s="5"/>
      <c r="AD178" s="27"/>
      <c r="AE178" s="5"/>
      <c r="AF178" s="27"/>
      <c r="AG178" s="5"/>
      <c r="AH178" s="5"/>
      <c r="AI178" s="27"/>
      <c r="AJ178" s="5"/>
      <c r="AK178" s="99"/>
      <c r="AL178" s="28"/>
      <c r="AM178" s="5"/>
      <c r="AN178" s="27"/>
      <c r="AO178" s="5"/>
      <c r="AP178" s="27"/>
      <c r="AQ178" s="28"/>
      <c r="AR178" s="5"/>
      <c r="AS178" s="27"/>
      <c r="AT178" s="5"/>
      <c r="AU178" s="99"/>
      <c r="AV178" s="28"/>
      <c r="AW178" s="5"/>
      <c r="AX178" s="27"/>
      <c r="AY178" s="5"/>
      <c r="AZ178" s="5"/>
      <c r="BA178" s="28"/>
    </row>
    <row r="179" spans="3:53" x14ac:dyDescent="0.25">
      <c r="C179" s="5"/>
      <c r="D179" s="27"/>
      <c r="E179" s="5"/>
      <c r="F179" s="27"/>
      <c r="G179" s="5"/>
      <c r="H179" s="5"/>
      <c r="I179" s="27"/>
      <c r="J179" s="5"/>
      <c r="K179" s="5"/>
      <c r="L179" s="28"/>
      <c r="M179" s="5"/>
      <c r="N179" s="27"/>
      <c r="O179" s="5"/>
      <c r="P179" s="5"/>
      <c r="Q179" s="28"/>
      <c r="R179" s="5"/>
      <c r="S179" s="27"/>
      <c r="T179" s="5"/>
      <c r="U179" s="5"/>
      <c r="V179" s="28"/>
      <c r="W179" s="5"/>
      <c r="X179" s="27"/>
      <c r="Y179" s="5"/>
      <c r="Z179" s="5"/>
      <c r="AA179" s="28"/>
      <c r="AC179" s="5"/>
      <c r="AD179" s="27"/>
      <c r="AE179" s="5"/>
      <c r="AF179" s="27"/>
      <c r="AG179" s="5"/>
      <c r="AH179" s="5"/>
      <c r="AI179" s="27"/>
      <c r="AJ179" s="5"/>
      <c r="AK179" s="99"/>
      <c r="AL179" s="28"/>
      <c r="AM179" s="5"/>
      <c r="AN179" s="27"/>
      <c r="AO179" s="5"/>
      <c r="AP179" s="27"/>
      <c r="AQ179" s="28"/>
      <c r="AR179" s="5"/>
      <c r="AS179" s="27"/>
      <c r="AT179" s="5"/>
      <c r="AU179" s="99"/>
      <c r="AV179" s="28"/>
      <c r="AW179" s="5"/>
      <c r="AX179" s="27"/>
      <c r="AY179" s="5"/>
      <c r="AZ179" s="5"/>
      <c r="BA179" s="28"/>
    </row>
    <row r="180" spans="3:53" x14ac:dyDescent="0.25">
      <c r="C180" s="5"/>
      <c r="D180" s="27"/>
      <c r="E180" s="5"/>
      <c r="F180" s="27"/>
      <c r="G180" s="5"/>
      <c r="H180" s="5"/>
      <c r="I180" s="27"/>
      <c r="J180" s="5"/>
      <c r="K180" s="5"/>
      <c r="L180" s="28"/>
      <c r="M180" s="5"/>
      <c r="N180" s="27"/>
      <c r="O180" s="5"/>
      <c r="P180" s="5"/>
      <c r="Q180" s="28"/>
      <c r="R180" s="5"/>
      <c r="S180" s="27"/>
      <c r="T180" s="5"/>
      <c r="U180" s="5"/>
      <c r="V180" s="28"/>
      <c r="W180" s="5"/>
      <c r="X180" s="27"/>
      <c r="Y180" s="5"/>
      <c r="Z180" s="5"/>
      <c r="AA180" s="28"/>
      <c r="AC180" s="5"/>
      <c r="AD180" s="27"/>
      <c r="AE180" s="5"/>
      <c r="AF180" s="27"/>
      <c r="AG180" s="5"/>
      <c r="AH180" s="5"/>
      <c r="AI180" s="27"/>
      <c r="AJ180" s="5"/>
      <c r="AK180" s="99"/>
      <c r="AL180" s="28"/>
      <c r="AM180" s="5"/>
      <c r="AN180" s="27"/>
      <c r="AO180" s="5"/>
      <c r="AP180" s="27"/>
      <c r="AQ180" s="28"/>
      <c r="AR180" s="5"/>
      <c r="AS180" s="27"/>
      <c r="AT180" s="5"/>
      <c r="AU180" s="99"/>
      <c r="AV180" s="28"/>
      <c r="AW180" s="5"/>
      <c r="AX180" s="27"/>
      <c r="AY180" s="5"/>
      <c r="AZ180" s="5"/>
      <c r="BA180" s="28"/>
    </row>
    <row r="181" spans="3:53" x14ac:dyDescent="0.25">
      <c r="C181" s="5"/>
      <c r="D181" s="27"/>
      <c r="E181" s="5"/>
      <c r="F181" s="27"/>
      <c r="G181" s="5"/>
      <c r="H181" s="5"/>
      <c r="I181" s="27"/>
      <c r="J181" s="5"/>
      <c r="K181" s="5"/>
      <c r="L181" s="28"/>
      <c r="M181" s="5"/>
      <c r="N181" s="27"/>
      <c r="O181" s="5"/>
      <c r="P181" s="5"/>
      <c r="Q181" s="28"/>
      <c r="R181" s="5"/>
      <c r="S181" s="27"/>
      <c r="T181" s="5"/>
      <c r="U181" s="5"/>
      <c r="V181" s="28"/>
      <c r="W181" s="5"/>
      <c r="X181" s="27"/>
      <c r="Y181" s="5"/>
      <c r="Z181" s="5"/>
      <c r="AA181" s="28"/>
      <c r="AC181" s="5"/>
      <c r="AD181" s="27"/>
      <c r="AE181" s="5"/>
      <c r="AF181" s="27"/>
      <c r="AG181" s="5"/>
      <c r="AH181" s="5"/>
      <c r="AI181" s="27"/>
      <c r="AJ181" s="5"/>
      <c r="AK181" s="99"/>
      <c r="AL181" s="28"/>
      <c r="AM181" s="5"/>
      <c r="AN181" s="27"/>
      <c r="AO181" s="5"/>
      <c r="AP181" s="27"/>
      <c r="AQ181" s="28"/>
      <c r="AR181" s="5"/>
      <c r="AS181" s="27"/>
      <c r="AT181" s="5"/>
      <c r="AU181" s="99"/>
      <c r="AV181" s="28"/>
      <c r="AW181" s="5"/>
      <c r="AX181" s="27"/>
      <c r="AY181" s="5"/>
      <c r="AZ181" s="5"/>
      <c r="BA181" s="28"/>
    </row>
    <row r="182" spans="3:53" x14ac:dyDescent="0.25">
      <c r="C182" s="5"/>
      <c r="D182" s="27"/>
      <c r="E182" s="5"/>
      <c r="F182" s="27"/>
      <c r="G182" s="5"/>
      <c r="H182" s="5"/>
      <c r="I182" s="27"/>
      <c r="J182" s="5"/>
      <c r="K182" s="5"/>
      <c r="L182" s="28"/>
      <c r="M182" s="5"/>
      <c r="N182" s="27"/>
      <c r="O182" s="5"/>
      <c r="P182" s="5"/>
      <c r="Q182" s="28"/>
      <c r="R182" s="5"/>
      <c r="S182" s="27"/>
      <c r="T182" s="5"/>
      <c r="U182" s="5"/>
      <c r="V182" s="28"/>
      <c r="W182" s="5"/>
      <c r="X182" s="27"/>
      <c r="Y182" s="5"/>
      <c r="Z182" s="5"/>
      <c r="AA182" s="28"/>
      <c r="AC182" s="5"/>
      <c r="AD182" s="27"/>
      <c r="AE182" s="5"/>
      <c r="AF182" s="27"/>
      <c r="AG182" s="5"/>
      <c r="AH182" s="5"/>
      <c r="AI182" s="27"/>
      <c r="AJ182" s="5"/>
      <c r="AK182" s="99"/>
      <c r="AL182" s="28"/>
      <c r="AM182" s="5"/>
      <c r="AN182" s="27"/>
      <c r="AO182" s="5"/>
      <c r="AP182" s="27"/>
      <c r="AQ182" s="28"/>
      <c r="AR182" s="5"/>
      <c r="AS182" s="27"/>
      <c r="AT182" s="5"/>
      <c r="AU182" s="99"/>
      <c r="AV182" s="28"/>
      <c r="AW182" s="5"/>
      <c r="AX182" s="27"/>
      <c r="AY182" s="5"/>
      <c r="AZ182" s="5"/>
      <c r="BA182" s="28"/>
    </row>
    <row r="183" spans="3:53" x14ac:dyDescent="0.25">
      <c r="C183" s="5"/>
      <c r="D183" s="27"/>
      <c r="E183" s="5"/>
      <c r="F183" s="27"/>
      <c r="G183" s="5"/>
      <c r="H183" s="5"/>
      <c r="I183" s="27"/>
      <c r="J183" s="5"/>
      <c r="K183" s="5"/>
      <c r="L183" s="28"/>
      <c r="M183" s="5"/>
      <c r="N183" s="27"/>
      <c r="O183" s="5"/>
      <c r="P183" s="5"/>
      <c r="Q183" s="28"/>
      <c r="R183" s="5"/>
      <c r="S183" s="27"/>
      <c r="T183" s="5"/>
      <c r="U183" s="5"/>
      <c r="V183" s="28"/>
      <c r="W183" s="5"/>
      <c r="X183" s="27"/>
      <c r="Y183" s="5"/>
      <c r="Z183" s="5"/>
      <c r="AA183" s="28"/>
      <c r="AC183" s="5"/>
      <c r="AD183" s="27"/>
      <c r="AE183" s="5"/>
      <c r="AF183" s="27"/>
      <c r="AG183" s="5"/>
      <c r="AH183" s="5"/>
      <c r="AI183" s="27"/>
      <c r="AJ183" s="5"/>
      <c r="AK183" s="99"/>
      <c r="AL183" s="28"/>
      <c r="AM183" s="5"/>
      <c r="AN183" s="27"/>
      <c r="AO183" s="5"/>
      <c r="AP183" s="27"/>
      <c r="AQ183" s="28"/>
      <c r="AR183" s="5"/>
      <c r="AS183" s="27"/>
      <c r="AT183" s="5"/>
      <c r="AU183" s="99"/>
      <c r="AV183" s="28"/>
      <c r="AW183" s="5"/>
      <c r="AX183" s="27"/>
      <c r="AY183" s="5"/>
      <c r="AZ183" s="5"/>
      <c r="BA183" s="28"/>
    </row>
    <row r="184" spans="3:53" x14ac:dyDescent="0.25">
      <c r="C184" s="5"/>
      <c r="D184" s="27"/>
      <c r="E184" s="5"/>
      <c r="F184" s="27"/>
      <c r="G184" s="5"/>
      <c r="H184" s="5"/>
      <c r="I184" s="27"/>
      <c r="J184" s="5"/>
      <c r="K184" s="5"/>
      <c r="L184" s="28"/>
      <c r="M184" s="5"/>
      <c r="N184" s="27"/>
      <c r="O184" s="5"/>
      <c r="P184" s="5"/>
      <c r="Q184" s="28"/>
      <c r="R184" s="5"/>
      <c r="S184" s="27"/>
      <c r="T184" s="5"/>
      <c r="U184" s="5"/>
      <c r="V184" s="28"/>
      <c r="W184" s="5"/>
      <c r="X184" s="27"/>
      <c r="Y184" s="5"/>
      <c r="Z184" s="5"/>
      <c r="AA184" s="28"/>
      <c r="AC184" s="5"/>
      <c r="AD184" s="27"/>
      <c r="AE184" s="5"/>
      <c r="AF184" s="27"/>
      <c r="AG184" s="5"/>
      <c r="AH184" s="5"/>
      <c r="AI184" s="27"/>
      <c r="AJ184" s="5"/>
      <c r="AK184" s="99"/>
      <c r="AL184" s="28"/>
      <c r="AM184" s="5"/>
      <c r="AN184" s="27"/>
      <c r="AO184" s="5"/>
      <c r="AP184" s="27"/>
      <c r="AQ184" s="28"/>
      <c r="AR184" s="5"/>
      <c r="AS184" s="27"/>
      <c r="AT184" s="5"/>
      <c r="AU184" s="99"/>
      <c r="AV184" s="28"/>
      <c r="AW184" s="5"/>
      <c r="AX184" s="27"/>
      <c r="AY184" s="5"/>
      <c r="AZ184" s="5"/>
      <c r="BA184" s="28"/>
    </row>
    <row r="185" spans="3:53" x14ac:dyDescent="0.25">
      <c r="C185" s="5"/>
      <c r="D185" s="27"/>
      <c r="E185" s="5"/>
      <c r="F185" s="27"/>
      <c r="G185" s="5"/>
      <c r="H185" s="5"/>
      <c r="I185" s="27"/>
      <c r="J185" s="5"/>
      <c r="K185" s="5"/>
      <c r="L185" s="28"/>
      <c r="M185" s="5"/>
      <c r="N185" s="27"/>
      <c r="O185" s="5"/>
      <c r="P185" s="5"/>
      <c r="Q185" s="28"/>
      <c r="R185" s="5"/>
      <c r="S185" s="27"/>
      <c r="T185" s="5"/>
      <c r="U185" s="5"/>
      <c r="V185" s="28"/>
      <c r="W185" s="5"/>
      <c r="X185" s="27"/>
      <c r="Y185" s="5"/>
      <c r="Z185" s="5"/>
      <c r="AA185" s="28"/>
      <c r="AC185" s="5"/>
      <c r="AD185" s="27"/>
      <c r="AE185" s="5"/>
      <c r="AF185" s="27"/>
      <c r="AG185" s="5"/>
      <c r="AH185" s="5"/>
      <c r="AI185" s="27"/>
      <c r="AJ185" s="5"/>
      <c r="AK185" s="99"/>
      <c r="AL185" s="28"/>
      <c r="AM185" s="5"/>
      <c r="AN185" s="27"/>
      <c r="AO185" s="5"/>
      <c r="AP185" s="27"/>
      <c r="AQ185" s="28"/>
      <c r="AR185" s="5"/>
      <c r="AS185" s="27"/>
      <c r="AT185" s="5"/>
      <c r="AU185" s="99"/>
      <c r="AV185" s="28"/>
      <c r="AW185" s="5"/>
      <c r="AX185" s="27"/>
      <c r="AY185" s="5"/>
      <c r="AZ185" s="5"/>
      <c r="BA185" s="28"/>
    </row>
    <row r="186" spans="3:53" x14ac:dyDescent="0.25">
      <c r="C186" s="5"/>
      <c r="D186" s="27"/>
      <c r="E186" s="5"/>
      <c r="F186" s="27"/>
      <c r="G186" s="5"/>
      <c r="H186" s="5"/>
      <c r="I186" s="27"/>
      <c r="J186" s="5"/>
      <c r="K186" s="5"/>
      <c r="L186" s="28"/>
      <c r="M186" s="5"/>
      <c r="N186" s="27"/>
      <c r="O186" s="5"/>
      <c r="P186" s="5"/>
      <c r="Q186" s="28"/>
      <c r="R186" s="5"/>
      <c r="S186" s="27"/>
      <c r="T186" s="5"/>
      <c r="U186" s="5"/>
      <c r="V186" s="28"/>
      <c r="W186" s="5"/>
      <c r="X186" s="27"/>
      <c r="Y186" s="5"/>
      <c r="Z186" s="5"/>
      <c r="AA186" s="28"/>
      <c r="AC186" s="5"/>
      <c r="AD186" s="27"/>
      <c r="AE186" s="5"/>
      <c r="AF186" s="27"/>
      <c r="AG186" s="5"/>
      <c r="AH186" s="5"/>
      <c r="AI186" s="27"/>
      <c r="AJ186" s="5"/>
      <c r="AK186" s="99"/>
      <c r="AL186" s="28"/>
      <c r="AM186" s="5"/>
      <c r="AN186" s="27"/>
      <c r="AO186" s="5"/>
      <c r="AP186" s="27"/>
      <c r="AQ186" s="28"/>
      <c r="AR186" s="5"/>
      <c r="AS186" s="27"/>
      <c r="AT186" s="5"/>
      <c r="AU186" s="99"/>
      <c r="AV186" s="28"/>
      <c r="AW186" s="5"/>
      <c r="AX186" s="27"/>
      <c r="AY186" s="5"/>
      <c r="AZ186" s="5"/>
      <c r="BA186" s="28"/>
    </row>
    <row r="187" spans="3:53" x14ac:dyDescent="0.25">
      <c r="C187" s="5"/>
      <c r="D187" s="27"/>
      <c r="E187" s="5"/>
      <c r="F187" s="27"/>
      <c r="G187" s="5"/>
      <c r="H187" s="5"/>
      <c r="I187" s="27"/>
      <c r="J187" s="5"/>
      <c r="K187" s="5"/>
      <c r="L187" s="28"/>
      <c r="M187" s="5"/>
      <c r="N187" s="27"/>
      <c r="O187" s="5"/>
      <c r="P187" s="5"/>
      <c r="Q187" s="28"/>
      <c r="R187" s="5"/>
      <c r="S187" s="27"/>
      <c r="T187" s="5"/>
      <c r="U187" s="5"/>
      <c r="V187" s="28"/>
      <c r="W187" s="5"/>
      <c r="X187" s="27"/>
      <c r="Y187" s="5"/>
      <c r="Z187" s="5"/>
      <c r="AA187" s="28"/>
      <c r="AC187" s="5"/>
      <c r="AD187" s="27"/>
      <c r="AE187" s="5"/>
      <c r="AF187" s="27"/>
      <c r="AG187" s="5"/>
      <c r="AH187" s="5"/>
      <c r="AI187" s="27"/>
      <c r="AJ187" s="5"/>
      <c r="AK187" s="99"/>
      <c r="AL187" s="28"/>
      <c r="AM187" s="5"/>
      <c r="AN187" s="27"/>
      <c r="AO187" s="5"/>
      <c r="AP187" s="27"/>
      <c r="AQ187" s="28"/>
      <c r="AR187" s="5"/>
      <c r="AS187" s="27"/>
      <c r="AT187" s="5"/>
      <c r="AU187" s="99"/>
      <c r="AV187" s="28"/>
      <c r="AW187" s="5"/>
      <c r="AX187" s="27"/>
      <c r="AY187" s="5"/>
      <c r="AZ187" s="5"/>
      <c r="BA187" s="28"/>
    </row>
    <row r="188" spans="3:53" x14ac:dyDescent="0.25">
      <c r="C188" s="5"/>
      <c r="D188" s="27"/>
      <c r="E188" s="5"/>
      <c r="F188" s="27"/>
      <c r="G188" s="5"/>
      <c r="H188" s="5"/>
      <c r="I188" s="27"/>
      <c r="J188" s="5"/>
      <c r="K188" s="5"/>
      <c r="L188" s="28"/>
      <c r="M188" s="5"/>
      <c r="N188" s="27"/>
      <c r="O188" s="5"/>
      <c r="P188" s="5"/>
      <c r="Q188" s="28"/>
      <c r="R188" s="5"/>
      <c r="S188" s="27"/>
      <c r="T188" s="5"/>
      <c r="U188" s="5"/>
      <c r="V188" s="28"/>
      <c r="W188" s="5"/>
      <c r="X188" s="27"/>
      <c r="Y188" s="5"/>
      <c r="Z188" s="5"/>
      <c r="AA188" s="28"/>
      <c r="AC188" s="5"/>
      <c r="AD188" s="27"/>
      <c r="AE188" s="5"/>
      <c r="AF188" s="27"/>
      <c r="AG188" s="5"/>
      <c r="AH188" s="5"/>
      <c r="AI188" s="27"/>
      <c r="AJ188" s="5"/>
      <c r="AK188" s="99"/>
      <c r="AL188" s="28"/>
      <c r="AM188" s="5"/>
      <c r="AN188" s="27"/>
      <c r="AO188" s="5"/>
      <c r="AP188" s="27"/>
      <c r="AQ188" s="28"/>
      <c r="AR188" s="5"/>
      <c r="AS188" s="27"/>
      <c r="AT188" s="5"/>
      <c r="AU188" s="99"/>
      <c r="AV188" s="28"/>
      <c r="AW188" s="5"/>
      <c r="AX188" s="27"/>
      <c r="AY188" s="5"/>
      <c r="AZ188" s="5"/>
      <c r="BA188" s="28"/>
    </row>
    <row r="189" spans="3:53" x14ac:dyDescent="0.25">
      <c r="C189" s="5"/>
      <c r="D189" s="27"/>
      <c r="E189" s="5"/>
      <c r="F189" s="27"/>
      <c r="G189" s="5"/>
      <c r="H189" s="5"/>
      <c r="I189" s="27"/>
      <c r="J189" s="5"/>
      <c r="K189" s="5"/>
      <c r="L189" s="28"/>
      <c r="M189" s="5"/>
      <c r="N189" s="27"/>
      <c r="O189" s="5"/>
      <c r="P189" s="5"/>
      <c r="Q189" s="28"/>
      <c r="R189" s="5"/>
      <c r="S189" s="27"/>
      <c r="T189" s="5"/>
      <c r="U189" s="5"/>
      <c r="V189" s="28"/>
      <c r="W189" s="5"/>
      <c r="X189" s="27"/>
      <c r="Y189" s="5"/>
      <c r="Z189" s="5"/>
      <c r="AA189" s="28"/>
      <c r="AC189" s="5"/>
      <c r="AD189" s="27"/>
      <c r="AE189" s="5"/>
      <c r="AF189" s="27"/>
      <c r="AG189" s="5"/>
      <c r="AH189" s="5"/>
      <c r="AI189" s="27"/>
      <c r="AJ189" s="5"/>
      <c r="AK189" s="99"/>
      <c r="AL189" s="28"/>
      <c r="AM189" s="5"/>
      <c r="AN189" s="27"/>
      <c r="AO189" s="5"/>
      <c r="AP189" s="27"/>
      <c r="AQ189" s="28"/>
      <c r="AR189" s="5"/>
      <c r="AS189" s="27"/>
      <c r="AT189" s="5"/>
      <c r="AU189" s="99"/>
      <c r="AV189" s="28"/>
      <c r="AW189" s="5"/>
      <c r="AX189" s="27"/>
      <c r="AY189" s="5"/>
      <c r="AZ189" s="5"/>
      <c r="BA189" s="28"/>
    </row>
    <row r="190" spans="3:53" x14ac:dyDescent="0.25">
      <c r="C190" s="5"/>
      <c r="D190" s="27"/>
      <c r="E190" s="5"/>
      <c r="F190" s="27"/>
      <c r="G190" s="5"/>
      <c r="H190" s="5"/>
      <c r="I190" s="27"/>
      <c r="J190" s="5"/>
      <c r="K190" s="5"/>
      <c r="L190" s="28"/>
      <c r="M190" s="5"/>
      <c r="N190" s="27"/>
      <c r="O190" s="5"/>
      <c r="P190" s="5"/>
      <c r="Q190" s="28"/>
      <c r="R190" s="5"/>
      <c r="S190" s="27"/>
      <c r="T190" s="5"/>
      <c r="U190" s="5"/>
      <c r="V190" s="28"/>
      <c r="W190" s="5"/>
      <c r="X190" s="27"/>
      <c r="Y190" s="5"/>
      <c r="Z190" s="5"/>
      <c r="AA190" s="28"/>
      <c r="AC190" s="5"/>
      <c r="AD190" s="27"/>
      <c r="AE190" s="5"/>
      <c r="AF190" s="27"/>
      <c r="AG190" s="5"/>
      <c r="AH190" s="5"/>
      <c r="AI190" s="27"/>
      <c r="AJ190" s="5"/>
      <c r="AK190" s="99"/>
      <c r="AL190" s="28"/>
      <c r="AM190" s="5"/>
      <c r="AN190" s="27"/>
      <c r="AO190" s="5"/>
      <c r="AP190" s="27"/>
      <c r="AQ190" s="28"/>
      <c r="AR190" s="5"/>
      <c r="AS190" s="27"/>
      <c r="AT190" s="5"/>
      <c r="AU190" s="99"/>
      <c r="AV190" s="28"/>
      <c r="AW190" s="5"/>
      <c r="AX190" s="27"/>
      <c r="AY190" s="5"/>
      <c r="AZ190" s="5"/>
      <c r="BA190" s="28"/>
    </row>
    <row r="191" spans="3:53" x14ac:dyDescent="0.25">
      <c r="C191" s="5"/>
      <c r="D191" s="27"/>
      <c r="E191" s="5"/>
      <c r="F191" s="27"/>
      <c r="G191" s="5"/>
      <c r="H191" s="5"/>
      <c r="I191" s="27"/>
      <c r="J191" s="5"/>
      <c r="K191" s="5"/>
      <c r="L191" s="28"/>
      <c r="M191" s="5"/>
      <c r="N191" s="27"/>
      <c r="O191" s="5"/>
      <c r="P191" s="5"/>
      <c r="Q191" s="28"/>
      <c r="R191" s="5"/>
      <c r="S191" s="27"/>
      <c r="T191" s="5"/>
      <c r="U191" s="5"/>
      <c r="V191" s="28"/>
      <c r="W191" s="5"/>
      <c r="X191" s="27"/>
      <c r="Y191" s="5"/>
      <c r="Z191" s="5"/>
      <c r="AA191" s="28"/>
      <c r="AC191" s="5"/>
      <c r="AD191" s="27"/>
      <c r="AE191" s="5"/>
      <c r="AF191" s="27"/>
      <c r="AG191" s="5"/>
      <c r="AH191" s="5"/>
      <c r="AI191" s="27"/>
      <c r="AJ191" s="5"/>
      <c r="AK191" s="99"/>
      <c r="AL191" s="28"/>
      <c r="AM191" s="5"/>
      <c r="AN191" s="27"/>
      <c r="AO191" s="5"/>
      <c r="AP191" s="27"/>
      <c r="AQ191" s="28"/>
      <c r="AR191" s="5"/>
      <c r="AS191" s="27"/>
      <c r="AT191" s="5"/>
      <c r="AU191" s="99"/>
      <c r="AV191" s="28"/>
      <c r="AW191" s="5"/>
      <c r="AX191" s="27"/>
      <c r="AY191" s="5"/>
      <c r="AZ191" s="5"/>
      <c r="BA191" s="28"/>
    </row>
    <row r="192" spans="3:53" x14ac:dyDescent="0.25">
      <c r="C192" s="5"/>
      <c r="D192" s="27"/>
      <c r="E192" s="5"/>
      <c r="F192" s="27"/>
      <c r="G192" s="5"/>
      <c r="H192" s="5"/>
      <c r="I192" s="27"/>
      <c r="J192" s="5"/>
      <c r="K192" s="5"/>
      <c r="L192" s="28"/>
      <c r="M192" s="5"/>
      <c r="N192" s="27"/>
      <c r="O192" s="5"/>
      <c r="P192" s="5"/>
      <c r="Q192" s="28"/>
      <c r="R192" s="5"/>
      <c r="S192" s="27"/>
      <c r="T192" s="5"/>
      <c r="U192" s="5"/>
      <c r="V192" s="28"/>
      <c r="W192" s="5"/>
      <c r="X192" s="27"/>
      <c r="Y192" s="5"/>
      <c r="Z192" s="5"/>
      <c r="AA192" s="28"/>
      <c r="AC192" s="5"/>
      <c r="AD192" s="27"/>
      <c r="AE192" s="5"/>
      <c r="AF192" s="27"/>
      <c r="AG192" s="5"/>
      <c r="AH192" s="5"/>
      <c r="AI192" s="27"/>
      <c r="AJ192" s="5"/>
      <c r="AK192" s="99"/>
      <c r="AL192" s="28"/>
      <c r="AM192" s="5"/>
      <c r="AN192" s="27"/>
      <c r="AO192" s="5"/>
      <c r="AP192" s="27"/>
      <c r="AQ192" s="28"/>
      <c r="AR192" s="5"/>
      <c r="AS192" s="27"/>
      <c r="AT192" s="5"/>
      <c r="AU192" s="99"/>
      <c r="AV192" s="28"/>
      <c r="AW192" s="5"/>
      <c r="AX192" s="27"/>
      <c r="AY192" s="5"/>
      <c r="AZ192" s="5"/>
      <c r="BA192" s="28"/>
    </row>
    <row r="193" spans="3:53" x14ac:dyDescent="0.25">
      <c r="C193" s="5"/>
      <c r="D193" s="27"/>
      <c r="E193" s="5"/>
      <c r="F193" s="27"/>
      <c r="G193" s="5"/>
      <c r="H193" s="5"/>
      <c r="I193" s="27"/>
      <c r="J193" s="5"/>
      <c r="K193" s="5"/>
      <c r="L193" s="28"/>
      <c r="M193" s="5"/>
      <c r="N193" s="27"/>
      <c r="O193" s="5"/>
      <c r="P193" s="5"/>
      <c r="Q193" s="28"/>
      <c r="R193" s="5"/>
      <c r="S193" s="27"/>
      <c r="T193" s="5"/>
      <c r="U193" s="5"/>
      <c r="V193" s="28"/>
      <c r="W193" s="5"/>
      <c r="X193" s="27"/>
      <c r="Y193" s="5"/>
      <c r="Z193" s="5"/>
      <c r="AA193" s="28"/>
      <c r="AC193" s="5"/>
      <c r="AD193" s="27"/>
      <c r="AE193" s="5"/>
      <c r="AF193" s="27"/>
      <c r="AG193" s="5"/>
      <c r="AH193" s="5"/>
      <c r="AI193" s="27"/>
      <c r="AJ193" s="5"/>
      <c r="AK193" s="99"/>
      <c r="AL193" s="28"/>
      <c r="AM193" s="5"/>
      <c r="AN193" s="27"/>
      <c r="AO193" s="5"/>
      <c r="AP193" s="27"/>
      <c r="AQ193" s="28"/>
      <c r="AR193" s="5"/>
      <c r="AS193" s="27"/>
      <c r="AT193" s="5"/>
      <c r="AU193" s="99"/>
      <c r="AV193" s="28"/>
      <c r="AW193" s="5"/>
      <c r="AX193" s="27"/>
      <c r="AY193" s="5"/>
      <c r="AZ193" s="5"/>
      <c r="BA193" s="28"/>
    </row>
    <row r="194" spans="3:53" x14ac:dyDescent="0.25">
      <c r="C194" s="5"/>
      <c r="D194" s="27"/>
      <c r="E194" s="5"/>
      <c r="F194" s="27"/>
      <c r="G194" s="5"/>
      <c r="H194" s="5"/>
      <c r="I194" s="27"/>
      <c r="J194" s="5"/>
      <c r="K194" s="5"/>
      <c r="L194" s="28"/>
      <c r="M194" s="5"/>
      <c r="N194" s="27"/>
      <c r="O194" s="5"/>
      <c r="P194" s="5"/>
      <c r="Q194" s="28"/>
      <c r="R194" s="5"/>
      <c r="S194" s="27"/>
      <c r="T194" s="5"/>
      <c r="U194" s="5"/>
      <c r="V194" s="28"/>
      <c r="W194" s="5"/>
      <c r="X194" s="27"/>
      <c r="Y194" s="5"/>
      <c r="Z194" s="5"/>
      <c r="AA194" s="28"/>
      <c r="AC194" s="5"/>
      <c r="AD194" s="27"/>
      <c r="AE194" s="5"/>
      <c r="AF194" s="27"/>
      <c r="AG194" s="5"/>
      <c r="AH194" s="5"/>
      <c r="AI194" s="27"/>
      <c r="AJ194" s="5"/>
      <c r="AK194" s="99"/>
      <c r="AL194" s="28"/>
      <c r="AM194" s="5"/>
      <c r="AN194" s="27"/>
      <c r="AO194" s="5"/>
      <c r="AP194" s="27"/>
      <c r="AQ194" s="28"/>
      <c r="AR194" s="5"/>
      <c r="AS194" s="27"/>
      <c r="AT194" s="5"/>
      <c r="AU194" s="99"/>
      <c r="AV194" s="28"/>
      <c r="AW194" s="5"/>
      <c r="AX194" s="27"/>
      <c r="AY194" s="5"/>
      <c r="AZ194" s="5"/>
      <c r="BA194" s="28"/>
    </row>
    <row r="195" spans="3:53" x14ac:dyDescent="0.25">
      <c r="C195" s="5"/>
      <c r="D195" s="27"/>
      <c r="E195" s="5"/>
      <c r="F195" s="27"/>
      <c r="G195" s="5"/>
      <c r="H195" s="5"/>
      <c r="I195" s="27"/>
      <c r="J195" s="5"/>
      <c r="K195" s="5"/>
      <c r="L195" s="28"/>
      <c r="M195" s="5"/>
      <c r="N195" s="27"/>
      <c r="O195" s="5"/>
      <c r="P195" s="5"/>
      <c r="Q195" s="28"/>
      <c r="R195" s="5"/>
      <c r="S195" s="27"/>
      <c r="T195" s="5"/>
      <c r="U195" s="5"/>
      <c r="V195" s="28"/>
      <c r="W195" s="5"/>
      <c r="X195" s="27"/>
      <c r="Y195" s="5"/>
      <c r="Z195" s="5"/>
      <c r="AA195" s="28"/>
      <c r="AC195" s="5"/>
      <c r="AD195" s="27"/>
      <c r="AE195" s="5"/>
      <c r="AF195" s="27"/>
      <c r="AG195" s="5"/>
      <c r="AH195" s="5"/>
      <c r="AI195" s="27"/>
      <c r="AJ195" s="5"/>
      <c r="AK195" s="99"/>
      <c r="AL195" s="28"/>
      <c r="AM195" s="5"/>
      <c r="AN195" s="27"/>
      <c r="AO195" s="5"/>
      <c r="AP195" s="27"/>
      <c r="AQ195" s="28"/>
      <c r="AR195" s="5"/>
      <c r="AS195" s="27"/>
      <c r="AT195" s="5"/>
      <c r="AU195" s="99"/>
      <c r="AV195" s="28"/>
      <c r="AW195" s="5"/>
      <c r="AX195" s="27"/>
      <c r="AY195" s="5"/>
      <c r="AZ195" s="5"/>
      <c r="BA195" s="28"/>
    </row>
    <row r="196" spans="3:53" x14ac:dyDescent="0.25">
      <c r="C196" s="5"/>
      <c r="D196" s="27"/>
      <c r="E196" s="5"/>
      <c r="F196" s="27"/>
      <c r="G196" s="5"/>
      <c r="H196" s="5"/>
      <c r="I196" s="27"/>
      <c r="J196" s="5"/>
      <c r="K196" s="5"/>
      <c r="L196" s="28"/>
      <c r="M196" s="5"/>
      <c r="N196" s="27"/>
      <c r="O196" s="5"/>
      <c r="P196" s="5"/>
      <c r="Q196" s="28"/>
      <c r="R196" s="5"/>
      <c r="S196" s="27"/>
      <c r="T196" s="5"/>
      <c r="U196" s="5"/>
      <c r="V196" s="28"/>
      <c r="W196" s="5"/>
      <c r="X196" s="27"/>
      <c r="Y196" s="5"/>
      <c r="Z196" s="5"/>
      <c r="AA196" s="28"/>
      <c r="AC196" s="5"/>
      <c r="AD196" s="27"/>
      <c r="AE196" s="5"/>
      <c r="AF196" s="27"/>
      <c r="AG196" s="5"/>
      <c r="AH196" s="5"/>
      <c r="AI196" s="27"/>
      <c r="AJ196" s="5"/>
      <c r="AK196" s="99"/>
      <c r="AL196" s="28"/>
      <c r="AM196" s="5"/>
      <c r="AN196" s="27"/>
      <c r="AO196" s="5"/>
      <c r="AP196" s="27"/>
      <c r="AQ196" s="28"/>
      <c r="AR196" s="5"/>
      <c r="AS196" s="27"/>
      <c r="AT196" s="5"/>
      <c r="AU196" s="99"/>
      <c r="AV196" s="28"/>
      <c r="AW196" s="5"/>
      <c r="AX196" s="27"/>
      <c r="AY196" s="5"/>
      <c r="AZ196" s="5"/>
      <c r="BA196" s="28"/>
    </row>
    <row r="197" spans="3:53" x14ac:dyDescent="0.25">
      <c r="C197" s="5"/>
      <c r="D197" s="27"/>
      <c r="E197" s="5"/>
      <c r="F197" s="27"/>
      <c r="G197" s="5"/>
      <c r="H197" s="5"/>
      <c r="I197" s="27"/>
      <c r="J197" s="5"/>
      <c r="K197" s="5"/>
      <c r="L197" s="28"/>
      <c r="M197" s="5"/>
      <c r="N197" s="27"/>
      <c r="O197" s="5"/>
      <c r="P197" s="5"/>
      <c r="Q197" s="28"/>
      <c r="R197" s="5"/>
      <c r="S197" s="27"/>
      <c r="T197" s="5"/>
      <c r="U197" s="5"/>
      <c r="V197" s="28"/>
      <c r="W197" s="5"/>
      <c r="X197" s="27"/>
      <c r="Y197" s="5"/>
      <c r="Z197" s="5"/>
      <c r="AA197" s="28"/>
      <c r="AC197" s="5"/>
      <c r="AD197" s="27"/>
      <c r="AE197" s="5"/>
      <c r="AF197" s="27"/>
      <c r="AG197" s="5"/>
      <c r="AH197" s="5"/>
      <c r="AI197" s="27"/>
      <c r="AJ197" s="5"/>
      <c r="AK197" s="99"/>
      <c r="AL197" s="28"/>
      <c r="AM197" s="5"/>
      <c r="AN197" s="27"/>
      <c r="AO197" s="5"/>
      <c r="AP197" s="27"/>
      <c r="AQ197" s="28"/>
      <c r="AR197" s="5"/>
      <c r="AS197" s="27"/>
      <c r="AT197" s="5"/>
      <c r="AU197" s="99"/>
      <c r="AV197" s="28"/>
      <c r="AW197" s="5"/>
      <c r="AX197" s="27"/>
      <c r="AY197" s="5"/>
      <c r="AZ197" s="5"/>
      <c r="BA197" s="28"/>
    </row>
    <row r="198" spans="3:53" x14ac:dyDescent="0.25">
      <c r="C198" s="5"/>
      <c r="D198" s="27"/>
      <c r="E198" s="5"/>
      <c r="F198" s="27"/>
      <c r="G198" s="5"/>
      <c r="H198" s="5"/>
      <c r="I198" s="27"/>
      <c r="J198" s="5"/>
      <c r="K198" s="5"/>
      <c r="L198" s="28"/>
      <c r="M198" s="5"/>
      <c r="N198" s="27"/>
      <c r="O198" s="5"/>
      <c r="P198" s="5"/>
      <c r="Q198" s="28"/>
      <c r="R198" s="5"/>
      <c r="S198" s="27"/>
      <c r="T198" s="5"/>
      <c r="U198" s="5"/>
      <c r="V198" s="28"/>
      <c r="W198" s="5"/>
      <c r="X198" s="27"/>
      <c r="Y198" s="5"/>
      <c r="Z198" s="5"/>
      <c r="AA198" s="28"/>
      <c r="AC198" s="5"/>
      <c r="AD198" s="27"/>
      <c r="AE198" s="5"/>
      <c r="AF198" s="27"/>
      <c r="AG198" s="5"/>
      <c r="AH198" s="5"/>
      <c r="AI198" s="27"/>
      <c r="AJ198" s="5"/>
      <c r="AK198" s="99"/>
      <c r="AL198" s="28"/>
      <c r="AM198" s="5"/>
      <c r="AN198" s="27"/>
      <c r="AO198" s="5"/>
      <c r="AP198" s="27"/>
      <c r="AQ198" s="28"/>
      <c r="AR198" s="5"/>
      <c r="AS198" s="27"/>
      <c r="AT198" s="5"/>
      <c r="AU198" s="99"/>
      <c r="AV198" s="28"/>
      <c r="AW198" s="5"/>
      <c r="AX198" s="27"/>
      <c r="AY198" s="5"/>
      <c r="AZ198" s="5"/>
      <c r="BA198" s="28"/>
    </row>
    <row r="199" spans="3:53" x14ac:dyDescent="0.25">
      <c r="C199" s="5"/>
      <c r="D199" s="27"/>
      <c r="E199" s="5"/>
      <c r="F199" s="27"/>
      <c r="G199" s="5"/>
      <c r="H199" s="5"/>
      <c r="I199" s="27"/>
      <c r="J199" s="5"/>
      <c r="K199" s="5"/>
      <c r="L199" s="28"/>
      <c r="M199" s="5"/>
      <c r="N199" s="27"/>
      <c r="O199" s="5"/>
      <c r="P199" s="5"/>
      <c r="Q199" s="28"/>
      <c r="R199" s="5"/>
      <c r="S199" s="27"/>
      <c r="T199" s="5"/>
      <c r="U199" s="5"/>
      <c r="V199" s="28"/>
      <c r="W199" s="5"/>
      <c r="X199" s="27"/>
      <c r="Y199" s="5"/>
      <c r="Z199" s="5"/>
      <c r="AA199" s="28"/>
      <c r="AC199" s="5"/>
      <c r="AD199" s="27"/>
      <c r="AE199" s="5"/>
      <c r="AF199" s="27"/>
      <c r="AG199" s="5"/>
      <c r="AH199" s="5"/>
      <c r="AI199" s="27"/>
      <c r="AJ199" s="5"/>
      <c r="AK199" s="99"/>
      <c r="AL199" s="28"/>
      <c r="AM199" s="5"/>
      <c r="AN199" s="27"/>
      <c r="AO199" s="5"/>
      <c r="AP199" s="27"/>
      <c r="AQ199" s="28"/>
      <c r="AR199" s="5"/>
      <c r="AS199" s="27"/>
      <c r="AT199" s="5"/>
      <c r="AU199" s="99"/>
      <c r="AV199" s="28"/>
      <c r="AW199" s="5"/>
      <c r="AX199" s="27"/>
      <c r="AY199" s="5"/>
      <c r="AZ199" s="5"/>
      <c r="BA199" s="28"/>
    </row>
    <row r="200" spans="3:53" x14ac:dyDescent="0.25">
      <c r="C200" s="5"/>
      <c r="D200" s="27"/>
      <c r="E200" s="5"/>
      <c r="F200" s="27"/>
      <c r="G200" s="5"/>
      <c r="H200" s="5"/>
      <c r="I200" s="27"/>
      <c r="J200" s="5"/>
      <c r="K200" s="5"/>
      <c r="L200" s="28"/>
      <c r="M200" s="5"/>
      <c r="N200" s="27"/>
      <c r="O200" s="5"/>
      <c r="P200" s="5"/>
      <c r="Q200" s="28"/>
      <c r="R200" s="5"/>
      <c r="S200" s="27"/>
      <c r="T200" s="5"/>
      <c r="U200" s="5"/>
      <c r="V200" s="28"/>
      <c r="W200" s="5"/>
      <c r="X200" s="27"/>
      <c r="Y200" s="5"/>
      <c r="Z200" s="5"/>
      <c r="AA200" s="28"/>
      <c r="AC200" s="5"/>
      <c r="AD200" s="27"/>
      <c r="AE200" s="5"/>
      <c r="AF200" s="27"/>
      <c r="AG200" s="5"/>
      <c r="AH200" s="5"/>
      <c r="AI200" s="27"/>
      <c r="AJ200" s="5"/>
      <c r="AK200" s="99"/>
      <c r="AL200" s="28"/>
      <c r="AM200" s="5"/>
      <c r="AN200" s="27"/>
      <c r="AO200" s="5"/>
      <c r="AP200" s="27"/>
      <c r="AQ200" s="28"/>
      <c r="AR200" s="5"/>
      <c r="AS200" s="27"/>
      <c r="AT200" s="5"/>
      <c r="AU200" s="99"/>
      <c r="AV200" s="28"/>
      <c r="AW200" s="5"/>
      <c r="AX200" s="27"/>
      <c r="AY200" s="5"/>
      <c r="AZ200" s="5"/>
      <c r="BA200" s="28"/>
    </row>
    <row r="201" spans="3:53" x14ac:dyDescent="0.25">
      <c r="C201" s="5"/>
      <c r="D201" s="27"/>
      <c r="E201" s="5"/>
      <c r="F201" s="27"/>
      <c r="G201" s="5"/>
      <c r="H201" s="5"/>
      <c r="I201" s="27"/>
      <c r="J201" s="5"/>
      <c r="K201" s="5"/>
      <c r="L201" s="28"/>
      <c r="M201" s="5"/>
      <c r="N201" s="27"/>
      <c r="O201" s="5"/>
      <c r="P201" s="5"/>
      <c r="Q201" s="28"/>
      <c r="R201" s="5"/>
      <c r="S201" s="27"/>
      <c r="T201" s="5"/>
      <c r="U201" s="5"/>
      <c r="V201" s="28"/>
      <c r="W201" s="5"/>
      <c r="X201" s="27"/>
      <c r="Y201" s="5"/>
      <c r="Z201" s="5"/>
      <c r="AA201" s="28"/>
      <c r="AC201" s="5"/>
      <c r="AD201" s="27"/>
      <c r="AE201" s="5"/>
      <c r="AF201" s="27"/>
      <c r="AG201" s="5"/>
      <c r="AH201" s="5"/>
      <c r="AI201" s="27"/>
      <c r="AJ201" s="5"/>
      <c r="AK201" s="99"/>
      <c r="AL201" s="28"/>
      <c r="AM201" s="5"/>
      <c r="AN201" s="27"/>
      <c r="AO201" s="5"/>
      <c r="AP201" s="27"/>
      <c r="AQ201" s="28"/>
      <c r="AR201" s="5"/>
      <c r="AS201" s="27"/>
      <c r="AT201" s="5"/>
      <c r="AU201" s="99"/>
      <c r="AV201" s="28"/>
      <c r="AW201" s="5"/>
      <c r="AX201" s="27"/>
      <c r="AY201" s="5"/>
      <c r="AZ201" s="5"/>
      <c r="BA201" s="28"/>
    </row>
    <row r="202" spans="3:53" x14ac:dyDescent="0.25">
      <c r="C202" s="5"/>
      <c r="D202" s="27"/>
      <c r="E202" s="5"/>
      <c r="F202" s="27"/>
      <c r="G202" s="5"/>
      <c r="H202" s="5"/>
      <c r="I202" s="27"/>
      <c r="J202" s="5"/>
      <c r="K202" s="5"/>
      <c r="L202" s="28"/>
      <c r="M202" s="5"/>
      <c r="N202" s="27"/>
      <c r="O202" s="5"/>
      <c r="P202" s="5"/>
      <c r="Q202" s="28"/>
      <c r="R202" s="5"/>
      <c r="S202" s="27"/>
      <c r="T202" s="5"/>
      <c r="U202" s="5"/>
      <c r="V202" s="28"/>
      <c r="W202" s="5"/>
      <c r="X202" s="27"/>
      <c r="Y202" s="5"/>
      <c r="Z202" s="5"/>
      <c r="AA202" s="28"/>
      <c r="AC202" s="5"/>
      <c r="AD202" s="27"/>
      <c r="AE202" s="5"/>
      <c r="AF202" s="27"/>
      <c r="AG202" s="5"/>
      <c r="AH202" s="5"/>
      <c r="AI202" s="27"/>
      <c r="AJ202" s="5"/>
      <c r="AK202" s="99"/>
      <c r="AL202" s="28"/>
      <c r="AM202" s="5"/>
      <c r="AN202" s="27"/>
      <c r="AO202" s="5"/>
      <c r="AP202" s="27"/>
      <c r="AQ202" s="28"/>
      <c r="AR202" s="5"/>
      <c r="AS202" s="27"/>
      <c r="AT202" s="5"/>
      <c r="AU202" s="99"/>
      <c r="AV202" s="28"/>
      <c r="AW202" s="5"/>
      <c r="AX202" s="27"/>
      <c r="AY202" s="5"/>
      <c r="AZ202" s="5"/>
      <c r="BA202" s="28"/>
    </row>
    <row r="203" spans="3:53" x14ac:dyDescent="0.25">
      <c r="C203" s="5"/>
      <c r="D203" s="27"/>
      <c r="E203" s="5"/>
      <c r="F203" s="27"/>
      <c r="G203" s="5"/>
      <c r="H203" s="5"/>
      <c r="I203" s="27"/>
      <c r="J203" s="5"/>
      <c r="K203" s="5"/>
      <c r="L203" s="28"/>
      <c r="M203" s="5"/>
      <c r="N203" s="27"/>
      <c r="O203" s="5"/>
      <c r="P203" s="5"/>
      <c r="Q203" s="28"/>
      <c r="R203" s="5"/>
      <c r="S203" s="27"/>
      <c r="T203" s="5"/>
      <c r="U203" s="5"/>
      <c r="V203" s="28"/>
      <c r="W203" s="5"/>
      <c r="X203" s="27"/>
      <c r="Y203" s="5"/>
      <c r="Z203" s="5"/>
      <c r="AA203" s="28"/>
      <c r="AC203" s="5"/>
      <c r="AD203" s="27"/>
      <c r="AE203" s="5"/>
      <c r="AF203" s="27"/>
      <c r="AG203" s="5"/>
      <c r="AH203" s="5"/>
      <c r="AI203" s="27"/>
      <c r="AJ203" s="5"/>
      <c r="AK203" s="99"/>
      <c r="AL203" s="28"/>
      <c r="AM203" s="5"/>
      <c r="AN203" s="27"/>
      <c r="AO203" s="5"/>
      <c r="AP203" s="27"/>
      <c r="AQ203" s="28"/>
      <c r="AR203" s="5"/>
      <c r="AS203" s="27"/>
      <c r="AT203" s="5"/>
      <c r="AU203" s="99"/>
      <c r="AV203" s="28"/>
      <c r="AW203" s="5"/>
      <c r="AX203" s="27"/>
      <c r="AY203" s="5"/>
      <c r="AZ203" s="5"/>
      <c r="BA203" s="28"/>
    </row>
    <row r="204" spans="3:53" x14ac:dyDescent="0.25">
      <c r="C204" s="5"/>
      <c r="D204" s="27"/>
      <c r="E204" s="5"/>
      <c r="F204" s="27"/>
      <c r="G204" s="5"/>
      <c r="H204" s="5"/>
      <c r="I204" s="27"/>
      <c r="J204" s="5"/>
      <c r="K204" s="5"/>
      <c r="L204" s="28"/>
      <c r="M204" s="5"/>
      <c r="N204" s="27"/>
      <c r="O204" s="5"/>
      <c r="P204" s="5"/>
      <c r="Q204" s="28"/>
      <c r="R204" s="5"/>
      <c r="S204" s="27"/>
      <c r="T204" s="5"/>
      <c r="U204" s="5"/>
      <c r="V204" s="28"/>
      <c r="W204" s="5"/>
      <c r="X204" s="27"/>
      <c r="Y204" s="5"/>
      <c r="Z204" s="5"/>
      <c r="AA204" s="28"/>
      <c r="AC204" s="5"/>
      <c r="AD204" s="27"/>
      <c r="AE204" s="5"/>
      <c r="AF204" s="27"/>
      <c r="AG204" s="5"/>
      <c r="AH204" s="5"/>
      <c r="AI204" s="27"/>
      <c r="AJ204" s="5"/>
      <c r="AK204" s="99"/>
      <c r="AL204" s="28"/>
      <c r="AM204" s="5"/>
      <c r="AN204" s="27"/>
      <c r="AO204" s="5"/>
      <c r="AP204" s="27"/>
      <c r="AQ204" s="28"/>
      <c r="AR204" s="5"/>
      <c r="AS204" s="27"/>
      <c r="AT204" s="5"/>
      <c r="AU204" s="99"/>
      <c r="AV204" s="28"/>
      <c r="AW204" s="5"/>
      <c r="AX204" s="27"/>
      <c r="AY204" s="5"/>
      <c r="AZ204" s="5"/>
      <c r="BA204" s="28"/>
    </row>
    <row r="205" spans="3:53" x14ac:dyDescent="0.25">
      <c r="C205" s="5"/>
      <c r="D205" s="27"/>
      <c r="E205" s="5"/>
      <c r="F205" s="27"/>
      <c r="G205" s="5"/>
      <c r="H205" s="5"/>
      <c r="I205" s="27"/>
      <c r="J205" s="5"/>
      <c r="K205" s="5"/>
      <c r="L205" s="28"/>
      <c r="M205" s="5"/>
      <c r="N205" s="27"/>
      <c r="O205" s="5"/>
      <c r="P205" s="5"/>
      <c r="Q205" s="28"/>
      <c r="R205" s="5"/>
      <c r="S205" s="27"/>
      <c r="T205" s="5"/>
      <c r="U205" s="5"/>
      <c r="V205" s="28"/>
      <c r="W205" s="5"/>
      <c r="X205" s="27"/>
      <c r="Y205" s="5"/>
      <c r="Z205" s="5"/>
      <c r="AA205" s="28"/>
      <c r="AC205" s="5"/>
      <c r="AD205" s="27"/>
      <c r="AE205" s="5"/>
      <c r="AF205" s="27"/>
      <c r="AG205" s="5"/>
      <c r="AH205" s="5"/>
      <c r="AI205" s="27"/>
      <c r="AJ205" s="5"/>
      <c r="AK205" s="99"/>
      <c r="AL205" s="28"/>
      <c r="AM205" s="5"/>
      <c r="AN205" s="27"/>
      <c r="AO205" s="5"/>
      <c r="AP205" s="27"/>
      <c r="AQ205" s="28"/>
      <c r="AR205" s="5"/>
      <c r="AS205" s="27"/>
      <c r="AT205" s="5"/>
      <c r="AU205" s="99"/>
      <c r="AV205" s="28"/>
      <c r="AW205" s="5"/>
      <c r="AX205" s="27"/>
      <c r="AY205" s="5"/>
      <c r="AZ205" s="5"/>
      <c r="BA205" s="28"/>
    </row>
    <row r="206" spans="3:53" x14ac:dyDescent="0.25">
      <c r="C206" s="5"/>
      <c r="D206" s="27"/>
      <c r="E206" s="5"/>
      <c r="F206" s="27"/>
      <c r="G206" s="5"/>
      <c r="H206" s="5"/>
      <c r="I206" s="27"/>
      <c r="J206" s="5"/>
      <c r="K206" s="5"/>
      <c r="L206" s="28"/>
      <c r="M206" s="5"/>
      <c r="N206" s="27"/>
      <c r="O206" s="5"/>
      <c r="P206" s="5"/>
      <c r="Q206" s="28"/>
      <c r="R206" s="5"/>
      <c r="S206" s="27"/>
      <c r="T206" s="5"/>
      <c r="U206" s="5"/>
      <c r="V206" s="28"/>
      <c r="W206" s="5"/>
      <c r="X206" s="27"/>
      <c r="Y206" s="5"/>
      <c r="Z206" s="5"/>
      <c r="AA206" s="28"/>
      <c r="AC206" s="5"/>
      <c r="AD206" s="27"/>
      <c r="AE206" s="5"/>
      <c r="AF206" s="27"/>
      <c r="AG206" s="5"/>
      <c r="AH206" s="5"/>
      <c r="AI206" s="27"/>
      <c r="AJ206" s="5"/>
      <c r="AK206" s="99"/>
      <c r="AL206" s="28"/>
      <c r="AM206" s="5"/>
      <c r="AN206" s="27"/>
      <c r="AO206" s="5"/>
      <c r="AP206" s="27"/>
      <c r="AQ206" s="28"/>
      <c r="AR206" s="5"/>
      <c r="AS206" s="27"/>
      <c r="AT206" s="5"/>
      <c r="AU206" s="99"/>
      <c r="AV206" s="28"/>
      <c r="AW206" s="5"/>
      <c r="AX206" s="27"/>
      <c r="AY206" s="5"/>
      <c r="AZ206" s="5"/>
      <c r="BA206" s="28"/>
    </row>
    <row r="207" spans="3:53" x14ac:dyDescent="0.25">
      <c r="C207" s="5"/>
      <c r="D207" s="27"/>
      <c r="E207" s="5"/>
      <c r="F207" s="27"/>
      <c r="G207" s="5"/>
      <c r="H207" s="5"/>
      <c r="I207" s="27"/>
      <c r="J207" s="5"/>
      <c r="K207" s="5"/>
      <c r="L207" s="28"/>
      <c r="M207" s="5"/>
      <c r="N207" s="27"/>
      <c r="O207" s="5"/>
      <c r="P207" s="5"/>
      <c r="Q207" s="28"/>
      <c r="R207" s="5"/>
      <c r="S207" s="27"/>
      <c r="T207" s="5"/>
      <c r="U207" s="5"/>
      <c r="V207" s="28"/>
      <c r="W207" s="5"/>
      <c r="X207" s="27"/>
      <c r="Y207" s="5"/>
      <c r="Z207" s="5"/>
      <c r="AA207" s="28"/>
      <c r="AC207" s="5"/>
      <c r="AD207" s="27"/>
      <c r="AE207" s="5"/>
      <c r="AF207" s="27"/>
      <c r="AG207" s="5"/>
      <c r="AH207" s="5"/>
      <c r="AI207" s="27"/>
      <c r="AJ207" s="5"/>
      <c r="AK207" s="99"/>
      <c r="AL207" s="28"/>
      <c r="AM207" s="5"/>
      <c r="AN207" s="27"/>
      <c r="AO207" s="5"/>
      <c r="AP207" s="27"/>
      <c r="AQ207" s="28"/>
      <c r="AR207" s="5"/>
      <c r="AS207" s="27"/>
      <c r="AT207" s="5"/>
      <c r="AU207" s="99"/>
      <c r="AV207" s="28"/>
      <c r="AW207" s="5"/>
      <c r="AX207" s="27"/>
      <c r="AY207" s="5"/>
      <c r="AZ207" s="5"/>
      <c r="BA207" s="28"/>
    </row>
    <row r="208" spans="3:53" x14ac:dyDescent="0.25">
      <c r="C208" s="5"/>
      <c r="D208" s="27"/>
      <c r="E208" s="5"/>
      <c r="F208" s="27"/>
      <c r="G208" s="5"/>
      <c r="H208" s="5"/>
      <c r="I208" s="27"/>
      <c r="J208" s="5"/>
      <c r="K208" s="5"/>
      <c r="L208" s="28"/>
      <c r="M208" s="5"/>
      <c r="N208" s="27"/>
      <c r="O208" s="5"/>
      <c r="P208" s="5"/>
      <c r="Q208" s="28"/>
      <c r="R208" s="5"/>
      <c r="S208" s="27"/>
      <c r="T208" s="5"/>
      <c r="U208" s="5"/>
      <c r="V208" s="28"/>
      <c r="W208" s="5"/>
      <c r="X208" s="27"/>
      <c r="Y208" s="5"/>
      <c r="Z208" s="5"/>
      <c r="AA208" s="28"/>
      <c r="AC208" s="5"/>
      <c r="AD208" s="27"/>
      <c r="AE208" s="5"/>
      <c r="AF208" s="27"/>
      <c r="AG208" s="5"/>
      <c r="AH208" s="5"/>
      <c r="AI208" s="27"/>
      <c r="AJ208" s="5"/>
      <c r="AK208" s="99"/>
      <c r="AL208" s="28"/>
      <c r="AM208" s="5"/>
      <c r="AN208" s="27"/>
      <c r="AO208" s="5"/>
      <c r="AP208" s="27"/>
      <c r="AQ208" s="28"/>
      <c r="AR208" s="5"/>
      <c r="AS208" s="27"/>
      <c r="AT208" s="5"/>
      <c r="AU208" s="99"/>
      <c r="AV208" s="28"/>
      <c r="AW208" s="5"/>
      <c r="AX208" s="27"/>
      <c r="AY208" s="5"/>
      <c r="AZ208" s="5"/>
      <c r="BA208" s="28"/>
    </row>
    <row r="209" spans="3:53" x14ac:dyDescent="0.25">
      <c r="C209" s="5"/>
      <c r="D209" s="27"/>
      <c r="E209" s="5"/>
      <c r="F209" s="27"/>
      <c r="G209" s="5"/>
      <c r="H209" s="5"/>
      <c r="I209" s="27"/>
      <c r="J209" s="5"/>
      <c r="K209" s="5"/>
      <c r="L209" s="28"/>
      <c r="M209" s="5"/>
      <c r="N209" s="27"/>
      <c r="O209" s="5"/>
      <c r="P209" s="5"/>
      <c r="Q209" s="28"/>
      <c r="R209" s="5"/>
      <c r="S209" s="27"/>
      <c r="T209" s="5"/>
      <c r="U209" s="5"/>
      <c r="V209" s="28"/>
      <c r="W209" s="5"/>
      <c r="X209" s="27"/>
      <c r="Y209" s="5"/>
      <c r="Z209" s="5"/>
      <c r="AA209" s="28"/>
      <c r="AC209" s="5"/>
      <c r="AD209" s="27"/>
      <c r="AE209" s="5"/>
      <c r="AF209" s="27"/>
      <c r="AG209" s="5"/>
      <c r="AH209" s="5"/>
      <c r="AI209" s="27"/>
      <c r="AJ209" s="5"/>
      <c r="AK209" s="99"/>
      <c r="AL209" s="28"/>
      <c r="AM209" s="5"/>
      <c r="AN209" s="27"/>
      <c r="AO209" s="5"/>
      <c r="AP209" s="27"/>
      <c r="AQ209" s="28"/>
      <c r="AR209" s="5"/>
      <c r="AS209" s="27"/>
      <c r="AT209" s="5"/>
      <c r="AU209" s="99"/>
      <c r="AV209" s="28"/>
      <c r="AW209" s="5"/>
      <c r="AX209" s="27"/>
      <c r="AY209" s="5"/>
      <c r="AZ209" s="5"/>
      <c r="BA209" s="28"/>
    </row>
    <row r="210" spans="3:53" x14ac:dyDescent="0.25">
      <c r="C210" s="5"/>
      <c r="D210" s="27"/>
      <c r="E210" s="5"/>
      <c r="F210" s="27"/>
      <c r="G210" s="5"/>
      <c r="H210" s="5"/>
      <c r="I210" s="27"/>
      <c r="J210" s="5"/>
      <c r="K210" s="5"/>
      <c r="L210" s="28"/>
      <c r="M210" s="5"/>
      <c r="N210" s="27"/>
      <c r="O210" s="5"/>
      <c r="P210" s="5"/>
      <c r="Q210" s="28"/>
      <c r="R210" s="5"/>
      <c r="S210" s="27"/>
      <c r="T210" s="5"/>
      <c r="U210" s="5"/>
      <c r="V210" s="28"/>
      <c r="W210" s="5"/>
      <c r="X210" s="27"/>
      <c r="Y210" s="5"/>
      <c r="Z210" s="5"/>
      <c r="AA210" s="28"/>
      <c r="AC210" s="5"/>
      <c r="AD210" s="27"/>
      <c r="AE210" s="5"/>
      <c r="AF210" s="27"/>
      <c r="AG210" s="5"/>
      <c r="AH210" s="5"/>
      <c r="AI210" s="27"/>
      <c r="AJ210" s="5"/>
      <c r="AK210" s="99"/>
      <c r="AL210" s="28"/>
      <c r="AM210" s="5"/>
      <c r="AN210" s="27"/>
      <c r="AO210" s="5"/>
      <c r="AP210" s="27"/>
      <c r="AQ210" s="28"/>
      <c r="AR210" s="5"/>
      <c r="AS210" s="27"/>
      <c r="AT210" s="5"/>
      <c r="AU210" s="99"/>
      <c r="AV210" s="28"/>
      <c r="AW210" s="5"/>
      <c r="AX210" s="27"/>
      <c r="AY210" s="5"/>
      <c r="AZ210" s="5"/>
      <c r="BA210" s="28"/>
    </row>
    <row r="211" spans="3:53" x14ac:dyDescent="0.25">
      <c r="C211" s="5"/>
      <c r="D211" s="27"/>
      <c r="E211" s="5"/>
      <c r="F211" s="27"/>
      <c r="G211" s="5"/>
      <c r="H211" s="5"/>
      <c r="I211" s="27"/>
      <c r="J211" s="5"/>
      <c r="K211" s="5"/>
      <c r="L211" s="28"/>
      <c r="M211" s="5"/>
      <c r="N211" s="27"/>
      <c r="O211" s="5"/>
      <c r="P211" s="5"/>
      <c r="Q211" s="28"/>
      <c r="R211" s="5"/>
      <c r="S211" s="27"/>
      <c r="T211" s="5"/>
      <c r="U211" s="5"/>
      <c r="V211" s="28"/>
      <c r="W211" s="5"/>
      <c r="X211" s="27"/>
      <c r="Y211" s="5"/>
      <c r="Z211" s="5"/>
      <c r="AA211" s="28"/>
      <c r="AC211" s="5"/>
      <c r="AD211" s="27"/>
      <c r="AE211" s="5"/>
      <c r="AF211" s="27"/>
      <c r="AG211" s="5"/>
      <c r="AH211" s="5"/>
      <c r="AI211" s="27"/>
      <c r="AJ211" s="5"/>
      <c r="AK211" s="99"/>
      <c r="AL211" s="28"/>
      <c r="AM211" s="5"/>
      <c r="AN211" s="27"/>
      <c r="AO211" s="5"/>
      <c r="AP211" s="27"/>
      <c r="AQ211" s="28"/>
      <c r="AR211" s="5"/>
      <c r="AS211" s="27"/>
      <c r="AT211" s="5"/>
      <c r="AU211" s="99"/>
      <c r="AV211" s="28"/>
      <c r="AW211" s="5"/>
      <c r="AX211" s="27"/>
      <c r="AY211" s="5"/>
      <c r="AZ211" s="5"/>
      <c r="BA211" s="28"/>
    </row>
    <row r="212" spans="3:53" x14ac:dyDescent="0.25">
      <c r="C212" s="5"/>
      <c r="D212" s="27"/>
      <c r="E212" s="5"/>
      <c r="F212" s="27"/>
      <c r="G212" s="5"/>
      <c r="H212" s="5"/>
      <c r="I212" s="27"/>
      <c r="J212" s="5"/>
      <c r="K212" s="5"/>
      <c r="L212" s="28"/>
      <c r="M212" s="5"/>
      <c r="N212" s="27"/>
      <c r="O212" s="5"/>
      <c r="P212" s="5"/>
      <c r="Q212" s="28"/>
      <c r="R212" s="5"/>
      <c r="S212" s="27"/>
      <c r="T212" s="5"/>
      <c r="U212" s="5"/>
      <c r="V212" s="28"/>
      <c r="W212" s="5"/>
      <c r="X212" s="27"/>
      <c r="Y212" s="5"/>
      <c r="Z212" s="5"/>
      <c r="AA212" s="28"/>
      <c r="AC212" s="5"/>
      <c r="AD212" s="27"/>
      <c r="AE212" s="5"/>
      <c r="AF212" s="27"/>
      <c r="AG212" s="5"/>
      <c r="AH212" s="5"/>
      <c r="AI212" s="27"/>
      <c r="AJ212" s="5"/>
      <c r="AK212" s="99"/>
      <c r="AL212" s="28"/>
      <c r="AM212" s="5"/>
      <c r="AN212" s="27"/>
      <c r="AO212" s="5"/>
      <c r="AP212" s="27"/>
      <c r="AQ212" s="28"/>
      <c r="AR212" s="5"/>
      <c r="AS212" s="27"/>
      <c r="AT212" s="5"/>
      <c r="AU212" s="99"/>
      <c r="AV212" s="28"/>
      <c r="AW212" s="5"/>
      <c r="AX212" s="27"/>
      <c r="AY212" s="5"/>
      <c r="AZ212" s="5"/>
      <c r="BA212" s="28"/>
    </row>
    <row r="213" spans="3:53" x14ac:dyDescent="0.25">
      <c r="C213" s="5"/>
      <c r="D213" s="27"/>
      <c r="E213" s="5"/>
      <c r="F213" s="27"/>
      <c r="G213" s="5"/>
      <c r="H213" s="5"/>
      <c r="I213" s="27"/>
      <c r="J213" s="5"/>
      <c r="K213" s="5"/>
      <c r="L213" s="28"/>
      <c r="M213" s="5"/>
      <c r="N213" s="27"/>
      <c r="O213" s="5"/>
      <c r="P213" s="5"/>
      <c r="Q213" s="28"/>
      <c r="R213" s="5"/>
      <c r="S213" s="27"/>
      <c r="T213" s="5"/>
      <c r="U213" s="5"/>
      <c r="V213" s="28"/>
      <c r="W213" s="5"/>
      <c r="X213" s="27"/>
      <c r="Y213" s="5"/>
      <c r="Z213" s="5"/>
      <c r="AA213" s="28"/>
      <c r="AC213" s="5"/>
      <c r="AD213" s="27"/>
      <c r="AE213" s="5"/>
      <c r="AF213" s="27"/>
      <c r="AG213" s="5"/>
      <c r="AH213" s="5"/>
      <c r="AI213" s="27"/>
      <c r="AJ213" s="5"/>
      <c r="AK213" s="99"/>
      <c r="AL213" s="28"/>
      <c r="AM213" s="5"/>
      <c r="AN213" s="27"/>
      <c r="AO213" s="5"/>
      <c r="AP213" s="27"/>
      <c r="AQ213" s="28"/>
      <c r="AR213" s="5"/>
      <c r="AS213" s="27"/>
      <c r="AT213" s="5"/>
      <c r="AU213" s="99"/>
      <c r="AV213" s="28"/>
      <c r="AW213" s="5"/>
      <c r="AX213" s="27"/>
      <c r="AY213" s="5"/>
      <c r="AZ213" s="5"/>
      <c r="BA213" s="28"/>
    </row>
    <row r="214" spans="3:53" x14ac:dyDescent="0.25">
      <c r="C214" s="5"/>
      <c r="D214" s="27"/>
      <c r="E214" s="5"/>
      <c r="F214" s="27"/>
      <c r="G214" s="5"/>
      <c r="H214" s="5"/>
      <c r="I214" s="27"/>
      <c r="J214" s="5"/>
      <c r="K214" s="5"/>
      <c r="L214" s="28"/>
      <c r="M214" s="5"/>
      <c r="N214" s="27"/>
      <c r="O214" s="5"/>
      <c r="P214" s="5"/>
      <c r="Q214" s="28"/>
      <c r="R214" s="5"/>
      <c r="S214" s="27"/>
      <c r="T214" s="5"/>
      <c r="U214" s="5"/>
      <c r="V214" s="28"/>
      <c r="W214" s="5"/>
      <c r="X214" s="27"/>
      <c r="Y214" s="5"/>
      <c r="Z214" s="5"/>
      <c r="AA214" s="28"/>
      <c r="AC214" s="5"/>
      <c r="AD214" s="27"/>
      <c r="AE214" s="5"/>
      <c r="AF214" s="27"/>
      <c r="AG214" s="5"/>
      <c r="AH214" s="5"/>
      <c r="AI214" s="27"/>
      <c r="AJ214" s="5"/>
      <c r="AK214" s="99"/>
      <c r="AL214" s="28"/>
      <c r="AM214" s="5"/>
      <c r="AN214" s="27"/>
      <c r="AO214" s="5"/>
      <c r="AP214" s="27"/>
      <c r="AQ214" s="28"/>
      <c r="AR214" s="5"/>
      <c r="AS214" s="27"/>
      <c r="AT214" s="5"/>
      <c r="AU214" s="99"/>
      <c r="AV214" s="28"/>
      <c r="AW214" s="5"/>
      <c r="AX214" s="27"/>
      <c r="AY214" s="5"/>
      <c r="AZ214" s="5"/>
      <c r="BA214" s="28"/>
    </row>
    <row r="215" spans="3:53" x14ac:dyDescent="0.25">
      <c r="C215" s="5"/>
      <c r="D215" s="27"/>
      <c r="E215" s="5"/>
      <c r="F215" s="27"/>
      <c r="G215" s="5"/>
      <c r="H215" s="5"/>
      <c r="I215" s="27"/>
      <c r="J215" s="5"/>
      <c r="K215" s="5"/>
      <c r="L215" s="28"/>
      <c r="M215" s="5"/>
      <c r="N215" s="27"/>
      <c r="O215" s="5"/>
      <c r="P215" s="5"/>
      <c r="Q215" s="28"/>
      <c r="R215" s="5"/>
      <c r="S215" s="27"/>
      <c r="T215" s="5"/>
      <c r="U215" s="5"/>
      <c r="V215" s="28"/>
      <c r="W215" s="5"/>
      <c r="X215" s="27"/>
      <c r="Y215" s="5"/>
      <c r="Z215" s="5"/>
      <c r="AA215" s="28"/>
      <c r="AC215" s="5"/>
      <c r="AD215" s="27"/>
      <c r="AE215" s="5"/>
      <c r="AF215" s="27"/>
      <c r="AG215" s="5"/>
      <c r="AH215" s="5"/>
      <c r="AI215" s="27"/>
      <c r="AJ215" s="5"/>
      <c r="AK215" s="99"/>
      <c r="AL215" s="28"/>
      <c r="AM215" s="5"/>
      <c r="AN215" s="27"/>
      <c r="AO215" s="5"/>
      <c r="AP215" s="27"/>
      <c r="AQ215" s="28"/>
      <c r="AR215" s="5"/>
      <c r="AS215" s="27"/>
      <c r="AT215" s="5"/>
      <c r="AU215" s="99"/>
      <c r="AV215" s="28"/>
      <c r="AW215" s="5"/>
      <c r="AX215" s="27"/>
      <c r="AY215" s="5"/>
      <c r="AZ215" s="5"/>
      <c r="BA215" s="28"/>
    </row>
    <row r="216" spans="3:53" x14ac:dyDescent="0.25">
      <c r="C216" s="5"/>
      <c r="D216" s="27"/>
      <c r="E216" s="5"/>
      <c r="F216" s="27"/>
      <c r="G216" s="5"/>
      <c r="H216" s="5"/>
      <c r="I216" s="27"/>
      <c r="J216" s="5"/>
      <c r="K216" s="5"/>
      <c r="L216" s="28"/>
      <c r="M216" s="5"/>
      <c r="N216" s="27"/>
      <c r="O216" s="5"/>
      <c r="P216" s="5"/>
      <c r="Q216" s="28"/>
      <c r="R216" s="5"/>
      <c r="S216" s="27"/>
      <c r="T216" s="5"/>
      <c r="U216" s="5"/>
      <c r="V216" s="28"/>
      <c r="W216" s="5"/>
      <c r="X216" s="27"/>
      <c r="Y216" s="5"/>
      <c r="Z216" s="5"/>
      <c r="AA216" s="28"/>
      <c r="AC216" s="5"/>
      <c r="AD216" s="27"/>
      <c r="AE216" s="5"/>
      <c r="AF216" s="27"/>
      <c r="AG216" s="5"/>
      <c r="AH216" s="5"/>
      <c r="AI216" s="27"/>
      <c r="AJ216" s="5"/>
      <c r="AK216" s="99"/>
      <c r="AL216" s="28"/>
      <c r="AM216" s="5"/>
      <c r="AN216" s="27"/>
      <c r="AO216" s="5"/>
      <c r="AP216" s="27"/>
      <c r="AQ216" s="28"/>
      <c r="AR216" s="5"/>
      <c r="AS216" s="27"/>
      <c r="AT216" s="5"/>
      <c r="AU216" s="99"/>
      <c r="AV216" s="28"/>
      <c r="AW216" s="5"/>
      <c r="AX216" s="27"/>
      <c r="AY216" s="5"/>
      <c r="AZ216" s="5"/>
      <c r="BA216" s="28"/>
    </row>
    <row r="217" spans="3:53" x14ac:dyDescent="0.25">
      <c r="C217" s="5"/>
      <c r="D217" s="27"/>
      <c r="E217" s="5"/>
      <c r="F217" s="27"/>
      <c r="G217" s="5"/>
      <c r="H217" s="5"/>
      <c r="I217" s="27"/>
      <c r="J217" s="5"/>
      <c r="K217" s="5"/>
      <c r="L217" s="28"/>
      <c r="M217" s="5"/>
      <c r="N217" s="27"/>
      <c r="O217" s="5"/>
      <c r="P217" s="5"/>
      <c r="Q217" s="28"/>
      <c r="R217" s="5"/>
      <c r="S217" s="27"/>
      <c r="T217" s="5"/>
      <c r="U217" s="5"/>
      <c r="V217" s="28"/>
      <c r="W217" s="5"/>
      <c r="X217" s="27"/>
      <c r="Y217" s="5"/>
      <c r="Z217" s="5"/>
      <c r="AA217" s="28"/>
      <c r="AC217" s="5"/>
      <c r="AD217" s="27"/>
      <c r="AE217" s="5"/>
      <c r="AF217" s="27"/>
      <c r="AG217" s="5"/>
      <c r="AH217" s="5"/>
      <c r="AI217" s="27"/>
      <c r="AJ217" s="5"/>
      <c r="AK217" s="99"/>
      <c r="AL217" s="28"/>
      <c r="AM217" s="5"/>
      <c r="AN217" s="27"/>
      <c r="AO217" s="5"/>
      <c r="AP217" s="27"/>
      <c r="AQ217" s="28"/>
      <c r="AR217" s="5"/>
      <c r="AS217" s="27"/>
      <c r="AT217" s="5"/>
      <c r="AU217" s="99"/>
      <c r="AV217" s="28"/>
      <c r="AW217" s="5"/>
      <c r="AX217" s="27"/>
      <c r="AY217" s="5"/>
      <c r="AZ217" s="5"/>
      <c r="BA217" s="28"/>
    </row>
    <row r="218" spans="3:53" x14ac:dyDescent="0.25">
      <c r="C218" s="5"/>
      <c r="D218" s="27"/>
      <c r="E218" s="5"/>
      <c r="F218" s="27"/>
      <c r="G218" s="5"/>
      <c r="H218" s="5"/>
      <c r="I218" s="27"/>
      <c r="J218" s="5"/>
      <c r="K218" s="5"/>
      <c r="L218" s="28"/>
      <c r="M218" s="5"/>
      <c r="N218" s="27"/>
      <c r="O218" s="5"/>
      <c r="P218" s="5"/>
      <c r="Q218" s="28"/>
      <c r="R218" s="5"/>
      <c r="S218" s="27"/>
      <c r="T218" s="5"/>
      <c r="U218" s="5"/>
      <c r="V218" s="28"/>
      <c r="W218" s="5"/>
      <c r="X218" s="27"/>
      <c r="Y218" s="5"/>
      <c r="Z218" s="5"/>
      <c r="AA218" s="28"/>
      <c r="AC218" s="5"/>
      <c r="AD218" s="27"/>
      <c r="AE218" s="5"/>
      <c r="AF218" s="27"/>
      <c r="AG218" s="5"/>
      <c r="AH218" s="5"/>
      <c r="AI218" s="27"/>
      <c r="AJ218" s="5"/>
      <c r="AK218" s="99"/>
      <c r="AL218" s="28"/>
      <c r="AM218" s="5"/>
      <c r="AN218" s="27"/>
      <c r="AO218" s="5"/>
      <c r="AP218" s="27"/>
      <c r="AQ218" s="28"/>
      <c r="AR218" s="5"/>
      <c r="AS218" s="27"/>
      <c r="AT218" s="5"/>
      <c r="AU218" s="99"/>
      <c r="AV218" s="28"/>
      <c r="AW218" s="5"/>
      <c r="AX218" s="27"/>
      <c r="AY218" s="5"/>
      <c r="AZ218" s="5"/>
      <c r="BA218" s="28"/>
    </row>
    <row r="219" spans="3:53" x14ac:dyDescent="0.25">
      <c r="C219" s="5"/>
      <c r="D219" s="27"/>
      <c r="E219" s="5"/>
      <c r="F219" s="27"/>
      <c r="G219" s="5"/>
      <c r="H219" s="5"/>
      <c r="I219" s="27"/>
      <c r="J219" s="5"/>
      <c r="K219" s="5"/>
      <c r="L219" s="28"/>
      <c r="M219" s="5"/>
      <c r="N219" s="27"/>
      <c r="O219" s="5"/>
      <c r="P219" s="5"/>
      <c r="Q219" s="28"/>
      <c r="R219" s="5"/>
      <c r="S219" s="27"/>
      <c r="T219" s="5"/>
      <c r="U219" s="5"/>
      <c r="V219" s="28"/>
      <c r="W219" s="5"/>
      <c r="X219" s="27"/>
      <c r="Y219" s="5"/>
      <c r="Z219" s="5"/>
      <c r="AA219" s="28"/>
      <c r="AC219" s="5"/>
      <c r="AD219" s="27"/>
      <c r="AE219" s="5"/>
      <c r="AF219" s="27"/>
      <c r="AG219" s="5"/>
      <c r="AH219" s="5"/>
      <c r="AI219" s="27"/>
      <c r="AJ219" s="5"/>
      <c r="AK219" s="99"/>
      <c r="AL219" s="28"/>
      <c r="AM219" s="5"/>
      <c r="AN219" s="27"/>
      <c r="AO219" s="5"/>
      <c r="AP219" s="27"/>
      <c r="AQ219" s="28"/>
      <c r="AR219" s="5"/>
      <c r="AS219" s="27"/>
      <c r="AT219" s="5"/>
      <c r="AU219" s="99"/>
      <c r="AV219" s="28"/>
      <c r="AW219" s="5"/>
      <c r="AX219" s="27"/>
      <c r="AY219" s="5"/>
      <c r="AZ219" s="5"/>
      <c r="BA219" s="28"/>
    </row>
    <row r="220" spans="3:53" x14ac:dyDescent="0.25">
      <c r="C220" s="5"/>
      <c r="D220" s="27"/>
      <c r="E220" s="5"/>
      <c r="F220" s="27"/>
      <c r="G220" s="5"/>
      <c r="H220" s="5"/>
      <c r="I220" s="27"/>
      <c r="J220" s="5"/>
      <c r="K220" s="5"/>
      <c r="L220" s="28"/>
      <c r="M220" s="5"/>
      <c r="N220" s="27"/>
      <c r="O220" s="5"/>
      <c r="P220" s="5"/>
      <c r="Q220" s="28"/>
      <c r="R220" s="5"/>
      <c r="S220" s="27"/>
      <c r="T220" s="5"/>
      <c r="U220" s="5"/>
      <c r="V220" s="28"/>
      <c r="W220" s="5"/>
      <c r="X220" s="27"/>
      <c r="Y220" s="5"/>
      <c r="Z220" s="5"/>
      <c r="AA220" s="28"/>
      <c r="AC220" s="5"/>
      <c r="AD220" s="27"/>
      <c r="AE220" s="5"/>
      <c r="AF220" s="27"/>
      <c r="AG220" s="5"/>
      <c r="AH220" s="5"/>
      <c r="AI220" s="27"/>
      <c r="AJ220" s="5"/>
      <c r="AK220" s="99"/>
      <c r="AL220" s="28"/>
      <c r="AM220" s="5"/>
      <c r="AN220" s="27"/>
      <c r="AO220" s="5"/>
      <c r="AP220" s="27"/>
      <c r="AQ220" s="28"/>
      <c r="AR220" s="5"/>
      <c r="AS220" s="27"/>
      <c r="AT220" s="5"/>
      <c r="AU220" s="99"/>
      <c r="AV220" s="28"/>
      <c r="AW220" s="5"/>
      <c r="AX220" s="27"/>
      <c r="AY220" s="5"/>
      <c r="AZ220" s="5"/>
      <c r="BA220" s="28"/>
    </row>
    <row r="221" spans="3:53" x14ac:dyDescent="0.25">
      <c r="C221" s="5"/>
      <c r="D221" s="27"/>
      <c r="E221" s="5"/>
      <c r="F221" s="27"/>
      <c r="G221" s="5"/>
      <c r="H221" s="5"/>
      <c r="I221" s="27"/>
      <c r="J221" s="5"/>
      <c r="K221" s="5"/>
      <c r="L221" s="28"/>
      <c r="M221" s="5"/>
      <c r="N221" s="27"/>
      <c r="O221" s="5"/>
      <c r="P221" s="5"/>
      <c r="Q221" s="28"/>
      <c r="R221" s="5"/>
      <c r="S221" s="27"/>
      <c r="T221" s="5"/>
      <c r="U221" s="5"/>
      <c r="V221" s="28"/>
      <c r="W221" s="5"/>
      <c r="X221" s="27"/>
      <c r="Y221" s="5"/>
      <c r="Z221" s="5"/>
      <c r="AA221" s="28"/>
      <c r="AC221" s="5"/>
      <c r="AD221" s="27"/>
      <c r="AE221" s="5"/>
      <c r="AF221" s="27"/>
      <c r="AG221" s="5"/>
      <c r="AH221" s="5"/>
      <c r="AI221" s="27"/>
      <c r="AJ221" s="5"/>
      <c r="AK221" s="99"/>
      <c r="AL221" s="28"/>
      <c r="AM221" s="5"/>
      <c r="AN221" s="27"/>
      <c r="AO221" s="5"/>
      <c r="AP221" s="27"/>
      <c r="AQ221" s="28"/>
      <c r="AR221" s="5"/>
      <c r="AS221" s="27"/>
      <c r="AT221" s="5"/>
      <c r="AU221" s="99"/>
      <c r="AV221" s="28"/>
      <c r="AW221" s="5"/>
      <c r="AX221" s="27"/>
      <c r="AY221" s="5"/>
      <c r="AZ221" s="5"/>
      <c r="BA221" s="28"/>
    </row>
    <row r="222" spans="3:53" x14ac:dyDescent="0.25">
      <c r="C222" s="5"/>
      <c r="D222" s="27"/>
      <c r="E222" s="5"/>
      <c r="F222" s="27"/>
      <c r="G222" s="5"/>
      <c r="H222" s="5"/>
      <c r="I222" s="27"/>
      <c r="J222" s="5"/>
      <c r="K222" s="5"/>
      <c r="L222" s="28"/>
      <c r="M222" s="5"/>
      <c r="N222" s="27"/>
      <c r="O222" s="5"/>
      <c r="P222" s="5"/>
      <c r="Q222" s="28"/>
      <c r="R222" s="5"/>
      <c r="S222" s="27"/>
      <c r="T222" s="5"/>
      <c r="U222" s="5"/>
      <c r="V222" s="28"/>
      <c r="W222" s="5"/>
      <c r="X222" s="27"/>
      <c r="Y222" s="5"/>
      <c r="Z222" s="5"/>
      <c r="AA222" s="28"/>
      <c r="AC222" s="5"/>
      <c r="AD222" s="27"/>
      <c r="AE222" s="5"/>
      <c r="AF222" s="27"/>
      <c r="AG222" s="5"/>
      <c r="AH222" s="5"/>
      <c r="AI222" s="27"/>
      <c r="AJ222" s="5"/>
      <c r="AK222" s="99"/>
      <c r="AL222" s="28"/>
      <c r="AM222" s="5"/>
      <c r="AN222" s="27"/>
      <c r="AO222" s="5"/>
      <c r="AP222" s="27"/>
      <c r="AQ222" s="28"/>
      <c r="AR222" s="5"/>
      <c r="AS222" s="27"/>
      <c r="AT222" s="5"/>
      <c r="AU222" s="99"/>
      <c r="AV222" s="28"/>
      <c r="AW222" s="5"/>
      <c r="AX222" s="27"/>
      <c r="AY222" s="5"/>
      <c r="AZ222" s="5"/>
      <c r="BA222" s="28"/>
    </row>
    <row r="223" spans="3:53" x14ac:dyDescent="0.25">
      <c r="C223" s="5"/>
      <c r="D223" s="27"/>
      <c r="E223" s="5"/>
      <c r="F223" s="27"/>
      <c r="G223" s="5"/>
      <c r="H223" s="5"/>
      <c r="I223" s="27"/>
      <c r="J223" s="5"/>
      <c r="K223" s="5"/>
      <c r="L223" s="28"/>
      <c r="M223" s="5"/>
      <c r="N223" s="27"/>
      <c r="O223" s="5"/>
      <c r="P223" s="5"/>
      <c r="Q223" s="28"/>
      <c r="R223" s="5"/>
      <c r="S223" s="27"/>
      <c r="T223" s="5"/>
      <c r="U223" s="5"/>
      <c r="V223" s="28"/>
      <c r="W223" s="5"/>
      <c r="X223" s="27"/>
      <c r="Y223" s="5"/>
      <c r="Z223" s="5"/>
      <c r="AA223" s="28"/>
      <c r="AC223" s="5"/>
      <c r="AD223" s="27"/>
      <c r="AE223" s="5"/>
      <c r="AF223" s="27"/>
      <c r="AG223" s="5"/>
      <c r="AH223" s="5"/>
      <c r="AI223" s="27"/>
      <c r="AJ223" s="5"/>
      <c r="AK223" s="99"/>
      <c r="AL223" s="28"/>
      <c r="AM223" s="5"/>
      <c r="AN223" s="27"/>
      <c r="AO223" s="5"/>
      <c r="AP223" s="27"/>
      <c r="AQ223" s="28"/>
      <c r="AR223" s="5"/>
      <c r="AS223" s="27"/>
      <c r="AT223" s="5"/>
      <c r="AU223" s="99"/>
      <c r="AV223" s="28"/>
      <c r="AW223" s="5"/>
      <c r="AX223" s="27"/>
      <c r="AY223" s="5"/>
      <c r="AZ223" s="5"/>
      <c r="BA223" s="28"/>
    </row>
    <row r="224" spans="3:53" x14ac:dyDescent="0.25">
      <c r="C224" s="5"/>
      <c r="D224" s="27"/>
      <c r="E224" s="5"/>
      <c r="F224" s="27"/>
      <c r="G224" s="5"/>
      <c r="H224" s="5"/>
      <c r="I224" s="27"/>
      <c r="J224" s="5"/>
      <c r="K224" s="5"/>
      <c r="L224" s="28"/>
      <c r="M224" s="5"/>
      <c r="N224" s="27"/>
      <c r="O224" s="5"/>
      <c r="P224" s="5"/>
      <c r="Q224" s="28"/>
      <c r="R224" s="5"/>
      <c r="S224" s="27"/>
      <c r="T224" s="5"/>
      <c r="U224" s="5"/>
      <c r="V224" s="28"/>
      <c r="W224" s="5"/>
      <c r="X224" s="27"/>
      <c r="Y224" s="5"/>
      <c r="Z224" s="5"/>
      <c r="AA224" s="28"/>
      <c r="AC224" s="5"/>
      <c r="AD224" s="27"/>
      <c r="AE224" s="5"/>
      <c r="AF224" s="27"/>
      <c r="AG224" s="5"/>
      <c r="AH224" s="5"/>
      <c r="AI224" s="27"/>
      <c r="AJ224" s="5"/>
      <c r="AK224" s="99"/>
      <c r="AL224" s="28"/>
      <c r="AM224" s="5"/>
      <c r="AN224" s="27"/>
      <c r="AO224" s="5"/>
      <c r="AP224" s="27"/>
      <c r="AQ224" s="28"/>
      <c r="AR224" s="5"/>
      <c r="AS224" s="27"/>
      <c r="AT224" s="5"/>
      <c r="AU224" s="99"/>
      <c r="AV224" s="28"/>
      <c r="AW224" s="5"/>
      <c r="AX224" s="27"/>
      <c r="AY224" s="5"/>
      <c r="AZ224" s="5"/>
      <c r="BA224" s="28"/>
    </row>
    <row r="225" spans="3:53" x14ac:dyDescent="0.25">
      <c r="C225" s="5"/>
      <c r="D225" s="27"/>
      <c r="E225" s="5"/>
      <c r="F225" s="27"/>
      <c r="G225" s="5"/>
      <c r="H225" s="5"/>
      <c r="I225" s="27"/>
      <c r="J225" s="5"/>
      <c r="K225" s="5"/>
      <c r="L225" s="28"/>
      <c r="M225" s="5"/>
      <c r="N225" s="27"/>
      <c r="O225" s="5"/>
      <c r="P225" s="5"/>
      <c r="Q225" s="28"/>
      <c r="R225" s="5"/>
      <c r="S225" s="27"/>
      <c r="T225" s="5"/>
      <c r="U225" s="5"/>
      <c r="V225" s="28"/>
      <c r="W225" s="5"/>
      <c r="X225" s="27"/>
      <c r="Y225" s="5"/>
      <c r="Z225" s="5"/>
      <c r="AA225" s="28"/>
      <c r="AC225" s="5"/>
      <c r="AD225" s="27"/>
      <c r="AE225" s="5"/>
      <c r="AF225" s="27"/>
      <c r="AG225" s="5"/>
      <c r="AH225" s="5"/>
      <c r="AI225" s="27"/>
      <c r="AJ225" s="5"/>
      <c r="AK225" s="99"/>
      <c r="AL225" s="28"/>
      <c r="AM225" s="5"/>
      <c r="AN225" s="27"/>
      <c r="AO225" s="5"/>
      <c r="AP225" s="27"/>
      <c r="AQ225" s="28"/>
      <c r="AR225" s="5"/>
      <c r="AS225" s="27"/>
      <c r="AT225" s="5"/>
      <c r="AU225" s="99"/>
      <c r="AV225" s="28"/>
      <c r="AW225" s="5"/>
      <c r="AX225" s="27"/>
      <c r="AY225" s="5"/>
      <c r="AZ225" s="5"/>
      <c r="BA225" s="28"/>
    </row>
    <row r="226" spans="3:53" x14ac:dyDescent="0.25">
      <c r="C226" s="5"/>
      <c r="D226" s="27"/>
      <c r="E226" s="5"/>
      <c r="F226" s="27"/>
      <c r="G226" s="5"/>
      <c r="H226" s="5"/>
      <c r="I226" s="27"/>
      <c r="J226" s="5"/>
      <c r="K226" s="5"/>
      <c r="L226" s="28"/>
      <c r="M226" s="5"/>
      <c r="N226" s="27"/>
      <c r="O226" s="5"/>
      <c r="P226" s="5"/>
      <c r="Q226" s="28"/>
      <c r="R226" s="5"/>
      <c r="S226" s="27"/>
      <c r="T226" s="5"/>
      <c r="U226" s="5"/>
      <c r="V226" s="28"/>
      <c r="W226" s="5"/>
      <c r="X226" s="27"/>
      <c r="Y226" s="5"/>
      <c r="Z226" s="5"/>
      <c r="AA226" s="28"/>
      <c r="AC226" s="5"/>
      <c r="AD226" s="27"/>
      <c r="AE226" s="5"/>
      <c r="AF226" s="27"/>
      <c r="AG226" s="5"/>
      <c r="AH226" s="5"/>
      <c r="AI226" s="27"/>
      <c r="AJ226" s="5"/>
      <c r="AK226" s="99"/>
      <c r="AL226" s="28"/>
      <c r="AM226" s="5"/>
      <c r="AN226" s="27"/>
      <c r="AO226" s="5"/>
      <c r="AP226" s="27"/>
      <c r="AQ226" s="28"/>
      <c r="AR226" s="5"/>
      <c r="AS226" s="27"/>
      <c r="AT226" s="5"/>
      <c r="AU226" s="99"/>
      <c r="AV226" s="28"/>
      <c r="AW226" s="5"/>
      <c r="AX226" s="27"/>
      <c r="AY226" s="5"/>
      <c r="AZ226" s="5"/>
      <c r="BA226" s="28"/>
    </row>
    <row r="227" spans="3:53" x14ac:dyDescent="0.25">
      <c r="C227" s="5"/>
      <c r="D227" s="27"/>
      <c r="E227" s="5"/>
      <c r="F227" s="27"/>
      <c r="G227" s="5"/>
      <c r="H227" s="5"/>
      <c r="I227" s="27"/>
      <c r="J227" s="5"/>
      <c r="K227" s="5"/>
      <c r="L227" s="28"/>
      <c r="M227" s="5"/>
      <c r="N227" s="27"/>
      <c r="O227" s="5"/>
      <c r="P227" s="5"/>
      <c r="Q227" s="28"/>
      <c r="R227" s="5"/>
      <c r="S227" s="27"/>
      <c r="T227" s="5"/>
      <c r="U227" s="5"/>
      <c r="V227" s="28"/>
      <c r="W227" s="5"/>
      <c r="X227" s="27"/>
      <c r="Y227" s="5"/>
      <c r="Z227" s="5"/>
      <c r="AA227" s="28"/>
      <c r="AC227" s="5"/>
      <c r="AD227" s="27"/>
      <c r="AE227" s="5"/>
      <c r="AF227" s="27"/>
      <c r="AG227" s="5"/>
      <c r="AH227" s="5"/>
      <c r="AI227" s="27"/>
      <c r="AJ227" s="5"/>
      <c r="AK227" s="99"/>
      <c r="AL227" s="28"/>
      <c r="AM227" s="5"/>
      <c r="AN227" s="27"/>
      <c r="AO227" s="5"/>
      <c r="AP227" s="27"/>
      <c r="AQ227" s="28"/>
      <c r="AR227" s="5"/>
      <c r="AS227" s="27"/>
      <c r="AT227" s="5"/>
      <c r="AU227" s="99"/>
      <c r="AV227" s="28"/>
      <c r="AW227" s="5"/>
      <c r="AX227" s="27"/>
      <c r="AY227" s="5"/>
      <c r="AZ227" s="5"/>
      <c r="BA227" s="28"/>
    </row>
    <row r="228" spans="3:53" x14ac:dyDescent="0.25">
      <c r="C228" s="5"/>
      <c r="D228" s="27"/>
      <c r="E228" s="5"/>
      <c r="F228" s="27"/>
      <c r="G228" s="5"/>
      <c r="H228" s="5"/>
      <c r="I228" s="27"/>
      <c r="J228" s="5"/>
      <c r="K228" s="5"/>
      <c r="L228" s="28"/>
      <c r="M228" s="5"/>
      <c r="N228" s="27"/>
      <c r="O228" s="5"/>
      <c r="P228" s="5"/>
      <c r="Q228" s="28"/>
      <c r="R228" s="5"/>
      <c r="S228" s="27"/>
      <c r="T228" s="5"/>
      <c r="U228" s="5"/>
      <c r="V228" s="28"/>
      <c r="W228" s="5"/>
      <c r="X228" s="27"/>
      <c r="Y228" s="5"/>
      <c r="Z228" s="5"/>
      <c r="AA228" s="28"/>
      <c r="AC228" s="5"/>
      <c r="AD228" s="27"/>
      <c r="AE228" s="5"/>
      <c r="AF228" s="27"/>
      <c r="AG228" s="5"/>
      <c r="AH228" s="5"/>
      <c r="AI228" s="27"/>
      <c r="AJ228" s="5"/>
      <c r="AK228" s="99"/>
      <c r="AL228" s="28"/>
      <c r="AM228" s="5"/>
      <c r="AN228" s="27"/>
      <c r="AO228" s="5"/>
      <c r="AP228" s="27"/>
      <c r="AQ228" s="28"/>
      <c r="AR228" s="5"/>
      <c r="AS228" s="27"/>
      <c r="AT228" s="5"/>
      <c r="AU228" s="99"/>
      <c r="AV228" s="28"/>
      <c r="AW228" s="5"/>
      <c r="AX228" s="27"/>
      <c r="AY228" s="5"/>
      <c r="AZ228" s="5"/>
      <c r="BA228" s="28"/>
    </row>
    <row r="229" spans="3:53" x14ac:dyDescent="0.25">
      <c r="C229" s="5"/>
      <c r="D229" s="27"/>
      <c r="E229" s="5"/>
      <c r="F229" s="27"/>
      <c r="G229" s="5"/>
      <c r="H229" s="5"/>
      <c r="I229" s="27"/>
      <c r="J229" s="5"/>
      <c r="K229" s="5"/>
      <c r="L229" s="28"/>
      <c r="M229" s="5"/>
      <c r="N229" s="27"/>
      <c r="O229" s="5"/>
      <c r="P229" s="5"/>
      <c r="Q229" s="28"/>
      <c r="R229" s="5"/>
      <c r="S229" s="27"/>
      <c r="T229" s="5"/>
      <c r="U229" s="5"/>
      <c r="V229" s="28"/>
      <c r="W229" s="5"/>
      <c r="X229" s="27"/>
      <c r="Y229" s="5"/>
      <c r="Z229" s="5"/>
      <c r="AA229" s="28"/>
      <c r="AC229" s="5"/>
      <c r="AD229" s="27"/>
      <c r="AE229" s="5"/>
      <c r="AF229" s="27"/>
      <c r="AG229" s="5"/>
      <c r="AH229" s="5"/>
      <c r="AI229" s="27"/>
      <c r="AJ229" s="5"/>
      <c r="AK229" s="99"/>
      <c r="AL229" s="28"/>
      <c r="AM229" s="5"/>
      <c r="AN229" s="27"/>
      <c r="AO229" s="5"/>
      <c r="AP229" s="27"/>
      <c r="AQ229" s="28"/>
      <c r="AR229" s="5"/>
      <c r="AS229" s="27"/>
      <c r="AT229" s="5"/>
      <c r="AU229" s="99"/>
      <c r="AV229" s="28"/>
      <c r="AW229" s="5"/>
      <c r="AX229" s="27"/>
      <c r="AY229" s="5"/>
      <c r="AZ229" s="5"/>
      <c r="BA229" s="28"/>
    </row>
    <row r="230" spans="3:53" x14ac:dyDescent="0.25">
      <c r="C230" s="5"/>
      <c r="D230" s="27"/>
      <c r="E230" s="5"/>
      <c r="F230" s="27"/>
      <c r="G230" s="5"/>
      <c r="H230" s="5"/>
      <c r="I230" s="27"/>
      <c r="J230" s="5"/>
      <c r="K230" s="5"/>
      <c r="L230" s="28"/>
      <c r="M230" s="5"/>
      <c r="N230" s="27"/>
      <c r="O230" s="5"/>
      <c r="P230" s="5"/>
      <c r="Q230" s="28"/>
      <c r="R230" s="5"/>
      <c r="S230" s="27"/>
      <c r="T230" s="5"/>
      <c r="U230" s="5"/>
      <c r="V230" s="28"/>
      <c r="W230" s="5"/>
      <c r="X230" s="27"/>
      <c r="Y230" s="5"/>
      <c r="Z230" s="5"/>
      <c r="AA230" s="28"/>
      <c r="AC230" s="5"/>
      <c r="AD230" s="27"/>
      <c r="AE230" s="5"/>
      <c r="AF230" s="27"/>
      <c r="AG230" s="5"/>
      <c r="AH230" s="5"/>
      <c r="AI230" s="27"/>
      <c r="AJ230" s="5"/>
      <c r="AK230" s="99"/>
      <c r="AL230" s="28"/>
      <c r="AM230" s="5"/>
      <c r="AN230" s="27"/>
      <c r="AO230" s="5"/>
      <c r="AP230" s="27"/>
      <c r="AQ230" s="28"/>
      <c r="AR230" s="5"/>
      <c r="AS230" s="27"/>
      <c r="AT230" s="5"/>
      <c r="AU230" s="99"/>
      <c r="AV230" s="28"/>
      <c r="AW230" s="5"/>
      <c r="AX230" s="27"/>
      <c r="AY230" s="5"/>
      <c r="AZ230" s="5"/>
      <c r="BA230" s="28"/>
    </row>
    <row r="231" spans="3:53" x14ac:dyDescent="0.25">
      <c r="C231" s="5"/>
      <c r="D231" s="27"/>
      <c r="E231" s="5"/>
      <c r="F231" s="27"/>
      <c r="G231" s="5"/>
      <c r="H231" s="5"/>
      <c r="I231" s="27"/>
      <c r="J231" s="5"/>
      <c r="K231" s="5"/>
      <c r="L231" s="28"/>
      <c r="M231" s="5"/>
      <c r="N231" s="27"/>
      <c r="O231" s="5"/>
      <c r="P231" s="5"/>
      <c r="Q231" s="28"/>
      <c r="R231" s="5"/>
      <c r="S231" s="27"/>
      <c r="T231" s="5"/>
      <c r="U231" s="5"/>
      <c r="V231" s="28"/>
      <c r="W231" s="5"/>
      <c r="X231" s="27"/>
      <c r="Y231" s="5"/>
      <c r="Z231" s="5"/>
      <c r="AA231" s="28"/>
      <c r="AC231" s="5"/>
      <c r="AD231" s="27"/>
      <c r="AE231" s="5"/>
      <c r="AF231" s="27"/>
      <c r="AG231" s="5"/>
      <c r="AH231" s="5"/>
      <c r="AI231" s="27"/>
      <c r="AJ231" s="5"/>
      <c r="AK231" s="99"/>
      <c r="AL231" s="28"/>
      <c r="AM231" s="5"/>
      <c r="AN231" s="27"/>
      <c r="AO231" s="5"/>
      <c r="AP231" s="27"/>
      <c r="AQ231" s="28"/>
      <c r="AR231" s="5"/>
      <c r="AS231" s="27"/>
      <c r="AT231" s="5"/>
      <c r="AU231" s="99"/>
      <c r="AV231" s="28"/>
      <c r="AW231" s="5"/>
      <c r="AX231" s="27"/>
      <c r="AY231" s="5"/>
      <c r="AZ231" s="5"/>
      <c r="BA231" s="28"/>
    </row>
    <row r="232" spans="3:53" x14ac:dyDescent="0.25">
      <c r="C232" s="5"/>
      <c r="D232" s="27"/>
      <c r="E232" s="5"/>
      <c r="F232" s="27"/>
      <c r="G232" s="5"/>
      <c r="H232" s="5"/>
      <c r="I232" s="27"/>
      <c r="J232" s="5"/>
      <c r="K232" s="5"/>
      <c r="L232" s="28"/>
      <c r="M232" s="5"/>
      <c r="N232" s="27"/>
      <c r="O232" s="5"/>
      <c r="P232" s="5"/>
      <c r="Q232" s="28"/>
      <c r="R232" s="5"/>
      <c r="S232" s="27"/>
      <c r="T232" s="5"/>
      <c r="U232" s="5"/>
      <c r="V232" s="28"/>
      <c r="W232" s="5"/>
      <c r="X232" s="27"/>
      <c r="Y232" s="5"/>
      <c r="Z232" s="5"/>
      <c r="AA232" s="28"/>
      <c r="AC232" s="5"/>
      <c r="AD232" s="27"/>
      <c r="AE232" s="5"/>
      <c r="AF232" s="27"/>
      <c r="AG232" s="5"/>
      <c r="AH232" s="5"/>
      <c r="AI232" s="27"/>
      <c r="AJ232" s="5"/>
      <c r="AK232" s="99"/>
      <c r="AL232" s="28"/>
      <c r="AM232" s="5"/>
      <c r="AN232" s="27"/>
      <c r="AO232" s="5"/>
      <c r="AP232" s="27"/>
      <c r="AQ232" s="28"/>
      <c r="AR232" s="5"/>
      <c r="AS232" s="27"/>
      <c r="AT232" s="5"/>
      <c r="AU232" s="99"/>
      <c r="AV232" s="28"/>
      <c r="AW232" s="5"/>
      <c r="AX232" s="27"/>
      <c r="AY232" s="5"/>
      <c r="AZ232" s="5"/>
      <c r="BA232" s="28"/>
    </row>
    <row r="233" spans="3:53" x14ac:dyDescent="0.25">
      <c r="C233" s="5"/>
      <c r="D233" s="27"/>
      <c r="E233" s="5"/>
      <c r="F233" s="27"/>
      <c r="G233" s="5"/>
      <c r="H233" s="5"/>
      <c r="I233" s="27"/>
      <c r="J233" s="5"/>
      <c r="K233" s="5"/>
      <c r="L233" s="28"/>
      <c r="M233" s="5"/>
      <c r="N233" s="27"/>
      <c r="O233" s="5"/>
      <c r="P233" s="5"/>
      <c r="Q233" s="28"/>
      <c r="R233" s="5"/>
      <c r="S233" s="27"/>
      <c r="T233" s="5"/>
      <c r="U233" s="5"/>
      <c r="V233" s="28"/>
      <c r="W233" s="5"/>
      <c r="X233" s="27"/>
      <c r="Y233" s="5"/>
      <c r="Z233" s="5"/>
      <c r="AA233" s="28"/>
      <c r="AC233" s="5"/>
      <c r="AD233" s="27"/>
      <c r="AE233" s="5"/>
      <c r="AF233" s="27"/>
      <c r="AG233" s="5"/>
      <c r="AH233" s="5"/>
      <c r="AI233" s="27"/>
      <c r="AJ233" s="5"/>
      <c r="AK233" s="99"/>
      <c r="AL233" s="28"/>
      <c r="AM233" s="5"/>
      <c r="AN233" s="27"/>
      <c r="AO233" s="5"/>
      <c r="AP233" s="27"/>
      <c r="AQ233" s="28"/>
      <c r="AR233" s="5"/>
      <c r="AS233" s="27"/>
      <c r="AT233" s="5"/>
      <c r="AU233" s="99"/>
      <c r="AV233" s="28"/>
      <c r="AW233" s="5"/>
      <c r="AX233" s="27"/>
      <c r="AY233" s="5"/>
      <c r="AZ233" s="5"/>
      <c r="BA233" s="28"/>
    </row>
    <row r="234" spans="3:53" x14ac:dyDescent="0.25">
      <c r="C234" s="5"/>
      <c r="D234" s="27"/>
      <c r="E234" s="5"/>
      <c r="F234" s="27"/>
      <c r="G234" s="5"/>
      <c r="H234" s="5"/>
      <c r="I234" s="27"/>
      <c r="J234" s="5"/>
      <c r="K234" s="5"/>
      <c r="L234" s="28"/>
      <c r="M234" s="5"/>
      <c r="N234" s="27"/>
      <c r="O234" s="5"/>
      <c r="P234" s="5"/>
      <c r="Q234" s="28"/>
      <c r="R234" s="5"/>
      <c r="S234" s="27"/>
      <c r="T234" s="5"/>
      <c r="U234" s="5"/>
      <c r="V234" s="28"/>
      <c r="W234" s="5"/>
      <c r="X234" s="27"/>
      <c r="Y234" s="5"/>
      <c r="Z234" s="5"/>
      <c r="AA234" s="28"/>
      <c r="AC234" s="5"/>
      <c r="AD234" s="27"/>
      <c r="AE234" s="5"/>
      <c r="AF234" s="27"/>
      <c r="AG234" s="5"/>
      <c r="AH234" s="5"/>
      <c r="AI234" s="27"/>
      <c r="AJ234" s="5"/>
      <c r="AK234" s="99"/>
      <c r="AL234" s="28"/>
      <c r="AM234" s="5"/>
      <c r="AN234" s="27"/>
      <c r="AO234" s="5"/>
      <c r="AP234" s="27"/>
      <c r="AQ234" s="28"/>
      <c r="AR234" s="5"/>
      <c r="AS234" s="27"/>
      <c r="AT234" s="5"/>
      <c r="AU234" s="99"/>
      <c r="AV234" s="28"/>
      <c r="AW234" s="5"/>
      <c r="AX234" s="27"/>
      <c r="AY234" s="5"/>
      <c r="AZ234" s="5"/>
      <c r="BA234" s="28"/>
    </row>
    <row r="235" spans="3:53" x14ac:dyDescent="0.25">
      <c r="C235" s="5"/>
      <c r="D235" s="27"/>
      <c r="E235" s="5"/>
      <c r="F235" s="27"/>
      <c r="G235" s="5"/>
      <c r="H235" s="5"/>
      <c r="I235" s="27"/>
      <c r="J235" s="5"/>
      <c r="K235" s="5"/>
      <c r="L235" s="28"/>
      <c r="M235" s="5"/>
      <c r="N235" s="27"/>
      <c r="O235" s="5"/>
      <c r="P235" s="5"/>
      <c r="Q235" s="28"/>
      <c r="R235" s="5"/>
      <c r="S235" s="27"/>
      <c r="T235" s="5"/>
      <c r="U235" s="5"/>
      <c r="V235" s="28"/>
      <c r="W235" s="5"/>
      <c r="X235" s="27"/>
      <c r="Y235" s="5"/>
      <c r="Z235" s="5"/>
      <c r="AA235" s="28"/>
      <c r="AC235" s="5"/>
      <c r="AD235" s="27"/>
      <c r="AE235" s="5"/>
      <c r="AF235" s="27"/>
      <c r="AG235" s="5"/>
      <c r="AH235" s="5"/>
      <c r="AI235" s="27"/>
      <c r="AJ235" s="5"/>
      <c r="AK235" s="99"/>
      <c r="AL235" s="28"/>
      <c r="AM235" s="5"/>
      <c r="AN235" s="27"/>
      <c r="AO235" s="5"/>
      <c r="AP235" s="27"/>
      <c r="AQ235" s="28"/>
      <c r="AR235" s="5"/>
      <c r="AS235" s="27"/>
      <c r="AT235" s="5"/>
      <c r="AU235" s="99"/>
      <c r="AV235" s="28"/>
      <c r="AW235" s="5"/>
      <c r="AX235" s="27"/>
      <c r="AY235" s="5"/>
      <c r="AZ235" s="5"/>
      <c r="BA235" s="28"/>
    </row>
    <row r="236" spans="3:53" x14ac:dyDescent="0.25">
      <c r="C236" s="5"/>
      <c r="D236" s="27"/>
      <c r="E236" s="5"/>
      <c r="F236" s="27"/>
      <c r="G236" s="5"/>
      <c r="H236" s="5"/>
      <c r="I236" s="27"/>
      <c r="J236" s="5"/>
      <c r="K236" s="5"/>
      <c r="L236" s="28"/>
      <c r="M236" s="5"/>
      <c r="N236" s="27"/>
      <c r="O236" s="5"/>
      <c r="P236" s="5"/>
      <c r="Q236" s="28"/>
      <c r="R236" s="5"/>
      <c r="S236" s="27"/>
      <c r="T236" s="5"/>
      <c r="U236" s="5"/>
      <c r="V236" s="28"/>
      <c r="W236" s="5"/>
      <c r="X236" s="27"/>
      <c r="Y236" s="5"/>
      <c r="Z236" s="5"/>
      <c r="AA236" s="28"/>
      <c r="AC236" s="5"/>
      <c r="AD236" s="27"/>
      <c r="AE236" s="5"/>
      <c r="AF236" s="27"/>
      <c r="AG236" s="5"/>
      <c r="AH236" s="5"/>
      <c r="AI236" s="27"/>
      <c r="AJ236" s="5"/>
      <c r="AK236" s="99"/>
      <c r="AL236" s="28"/>
      <c r="AM236" s="5"/>
      <c r="AN236" s="27"/>
      <c r="AO236" s="5"/>
      <c r="AP236" s="27"/>
      <c r="AQ236" s="28"/>
      <c r="AR236" s="5"/>
      <c r="AS236" s="27"/>
      <c r="AT236" s="5"/>
      <c r="AU236" s="99"/>
      <c r="AV236" s="28"/>
      <c r="AW236" s="5"/>
      <c r="AX236" s="27"/>
      <c r="AY236" s="5"/>
      <c r="AZ236" s="5"/>
      <c r="BA236" s="28"/>
    </row>
    <row r="237" spans="3:53" x14ac:dyDescent="0.25">
      <c r="C237" s="5"/>
      <c r="D237" s="27"/>
      <c r="E237" s="5"/>
      <c r="F237" s="27"/>
      <c r="G237" s="5"/>
      <c r="H237" s="5"/>
      <c r="I237" s="27"/>
      <c r="J237" s="5"/>
      <c r="K237" s="5"/>
      <c r="L237" s="28"/>
      <c r="M237" s="5"/>
      <c r="N237" s="27"/>
      <c r="O237" s="5"/>
      <c r="P237" s="5"/>
      <c r="Q237" s="28"/>
      <c r="R237" s="5"/>
      <c r="S237" s="27"/>
      <c r="T237" s="5"/>
      <c r="U237" s="5"/>
      <c r="V237" s="28"/>
      <c r="W237" s="5"/>
      <c r="X237" s="27"/>
      <c r="Y237" s="5"/>
      <c r="Z237" s="5"/>
      <c r="AA237" s="28"/>
      <c r="AC237" s="5"/>
      <c r="AD237" s="27"/>
      <c r="AE237" s="5"/>
      <c r="AF237" s="27"/>
      <c r="AG237" s="5"/>
      <c r="AH237" s="5"/>
      <c r="AI237" s="27"/>
      <c r="AJ237" s="5"/>
      <c r="AK237" s="99"/>
      <c r="AL237" s="28"/>
      <c r="AM237" s="5"/>
      <c r="AN237" s="27"/>
      <c r="AO237" s="5"/>
      <c r="AP237" s="27"/>
      <c r="AQ237" s="28"/>
      <c r="AR237" s="5"/>
      <c r="AS237" s="27"/>
      <c r="AT237" s="5"/>
      <c r="AU237" s="99"/>
      <c r="AV237" s="28"/>
      <c r="AW237" s="5"/>
      <c r="AX237" s="27"/>
      <c r="AY237" s="5"/>
      <c r="AZ237" s="5"/>
      <c r="BA237" s="28"/>
    </row>
    <row r="238" spans="3:53" x14ac:dyDescent="0.25">
      <c r="C238" s="5"/>
      <c r="D238" s="27"/>
      <c r="E238" s="5"/>
      <c r="F238" s="27"/>
      <c r="G238" s="5"/>
      <c r="H238" s="5"/>
      <c r="I238" s="27"/>
      <c r="J238" s="5"/>
      <c r="K238" s="5"/>
      <c r="L238" s="28"/>
      <c r="M238" s="5"/>
      <c r="N238" s="27"/>
      <c r="O238" s="5"/>
      <c r="P238" s="5"/>
      <c r="Q238" s="28"/>
      <c r="R238" s="5"/>
      <c r="S238" s="27"/>
      <c r="T238" s="5"/>
      <c r="U238" s="5"/>
      <c r="V238" s="28"/>
      <c r="W238" s="5"/>
      <c r="X238" s="27"/>
      <c r="Y238" s="5"/>
      <c r="Z238" s="5"/>
      <c r="AA238" s="28"/>
      <c r="AC238" s="5"/>
      <c r="AD238" s="27"/>
      <c r="AE238" s="5"/>
      <c r="AF238" s="27"/>
      <c r="AG238" s="5"/>
      <c r="AH238" s="5"/>
      <c r="AI238" s="27"/>
      <c r="AJ238" s="5"/>
      <c r="AK238" s="99"/>
      <c r="AL238" s="28"/>
      <c r="AM238" s="5"/>
      <c r="AN238" s="27"/>
      <c r="AO238" s="5"/>
      <c r="AP238" s="27"/>
      <c r="AQ238" s="28"/>
      <c r="AR238" s="5"/>
      <c r="AS238" s="27"/>
      <c r="AT238" s="5"/>
      <c r="AU238" s="99"/>
      <c r="AV238" s="28"/>
      <c r="AW238" s="5"/>
      <c r="AX238" s="27"/>
      <c r="AY238" s="5"/>
      <c r="AZ238" s="5"/>
      <c r="BA238" s="28"/>
    </row>
    <row r="239" spans="3:53" x14ac:dyDescent="0.25">
      <c r="C239" s="5"/>
      <c r="D239" s="27"/>
      <c r="E239" s="5"/>
      <c r="F239" s="27"/>
      <c r="G239" s="5"/>
      <c r="H239" s="5"/>
      <c r="I239" s="27"/>
      <c r="J239" s="5"/>
      <c r="K239" s="5"/>
      <c r="L239" s="28"/>
      <c r="M239" s="5"/>
      <c r="N239" s="27"/>
      <c r="O239" s="5"/>
      <c r="P239" s="5"/>
      <c r="Q239" s="28"/>
      <c r="R239" s="5"/>
      <c r="S239" s="27"/>
      <c r="T239" s="5"/>
      <c r="U239" s="5"/>
      <c r="V239" s="28"/>
      <c r="W239" s="5"/>
      <c r="X239" s="27"/>
      <c r="Y239" s="5"/>
      <c r="Z239" s="5"/>
      <c r="AA239" s="28"/>
      <c r="AC239" s="5"/>
      <c r="AD239" s="27"/>
      <c r="AE239" s="5"/>
      <c r="AF239" s="27"/>
      <c r="AG239" s="5"/>
      <c r="AH239" s="5"/>
      <c r="AI239" s="27"/>
      <c r="AJ239" s="5"/>
      <c r="AK239" s="99"/>
      <c r="AL239" s="28"/>
      <c r="AM239" s="5"/>
      <c r="AN239" s="27"/>
      <c r="AO239" s="5"/>
      <c r="AP239" s="27"/>
      <c r="AQ239" s="28"/>
      <c r="AR239" s="5"/>
      <c r="AS239" s="27"/>
      <c r="AT239" s="5"/>
      <c r="AU239" s="99"/>
      <c r="AV239" s="28"/>
      <c r="AW239" s="5"/>
      <c r="AX239" s="27"/>
      <c r="AY239" s="5"/>
      <c r="AZ239" s="5"/>
      <c r="BA239" s="28"/>
    </row>
    <row r="240" spans="3:53" x14ac:dyDescent="0.25">
      <c r="C240" s="5"/>
      <c r="D240" s="27"/>
      <c r="E240" s="5"/>
      <c r="F240" s="27"/>
      <c r="G240" s="5"/>
      <c r="H240" s="5"/>
      <c r="I240" s="27"/>
      <c r="J240" s="5"/>
      <c r="K240" s="5"/>
      <c r="L240" s="28"/>
      <c r="M240" s="5"/>
      <c r="N240" s="27"/>
      <c r="O240" s="5"/>
      <c r="P240" s="5"/>
      <c r="Q240" s="28"/>
      <c r="R240" s="5"/>
      <c r="S240" s="27"/>
      <c r="T240" s="5"/>
      <c r="U240" s="5"/>
      <c r="V240" s="28"/>
      <c r="W240" s="5"/>
      <c r="X240" s="27"/>
      <c r="Y240" s="5"/>
      <c r="Z240" s="5"/>
      <c r="AA240" s="28"/>
      <c r="AC240" s="5"/>
      <c r="AD240" s="27"/>
      <c r="AE240" s="5"/>
      <c r="AF240" s="27"/>
      <c r="AG240" s="5"/>
      <c r="AH240" s="5"/>
      <c r="AI240" s="27"/>
      <c r="AJ240" s="5"/>
      <c r="AK240" s="99"/>
      <c r="AL240" s="28"/>
      <c r="AM240" s="5"/>
      <c r="AN240" s="27"/>
      <c r="AO240" s="5"/>
      <c r="AP240" s="27"/>
      <c r="AQ240" s="28"/>
      <c r="AR240" s="5"/>
      <c r="AS240" s="27"/>
      <c r="AT240" s="5"/>
      <c r="AU240" s="99"/>
      <c r="AV240" s="28"/>
      <c r="AW240" s="5"/>
      <c r="AX240" s="27"/>
      <c r="AY240" s="5"/>
      <c r="AZ240" s="5"/>
      <c r="BA240" s="28"/>
    </row>
    <row r="241" spans="3:53" x14ac:dyDescent="0.25">
      <c r="C241" s="5"/>
      <c r="D241" s="27"/>
      <c r="E241" s="5"/>
      <c r="F241" s="27"/>
      <c r="G241" s="5"/>
      <c r="H241" s="5"/>
      <c r="I241" s="27"/>
      <c r="J241" s="5"/>
      <c r="K241" s="5"/>
      <c r="L241" s="28"/>
      <c r="M241" s="5"/>
      <c r="N241" s="27"/>
      <c r="O241" s="5"/>
      <c r="P241" s="5"/>
      <c r="Q241" s="28"/>
      <c r="R241" s="5"/>
      <c r="S241" s="27"/>
      <c r="T241" s="5"/>
      <c r="U241" s="5"/>
      <c r="V241" s="28"/>
      <c r="W241" s="5"/>
      <c r="X241" s="27"/>
      <c r="Y241" s="5"/>
      <c r="Z241" s="5"/>
      <c r="AA241" s="28"/>
      <c r="AC241" s="5"/>
      <c r="AD241" s="27"/>
      <c r="AE241" s="5"/>
      <c r="AF241" s="27"/>
      <c r="AG241" s="5"/>
      <c r="AH241" s="5"/>
      <c r="AI241" s="27"/>
      <c r="AJ241" s="5"/>
      <c r="AK241" s="99"/>
      <c r="AL241" s="28"/>
      <c r="AM241" s="5"/>
      <c r="AN241" s="27"/>
      <c r="AO241" s="5"/>
      <c r="AP241" s="27"/>
      <c r="AQ241" s="28"/>
      <c r="AR241" s="5"/>
      <c r="AS241" s="27"/>
      <c r="AT241" s="5"/>
      <c r="AU241" s="99"/>
      <c r="AV241" s="28"/>
      <c r="AW241" s="5"/>
      <c r="AX241" s="27"/>
      <c r="AY241" s="5"/>
      <c r="AZ241" s="5"/>
      <c r="BA241" s="28"/>
    </row>
    <row r="242" spans="3:53" x14ac:dyDescent="0.25">
      <c r="C242" s="5"/>
      <c r="D242" s="27"/>
      <c r="E242" s="5"/>
      <c r="F242" s="27"/>
      <c r="G242" s="5"/>
      <c r="H242" s="5"/>
      <c r="I242" s="27"/>
      <c r="J242" s="5"/>
      <c r="K242" s="5"/>
      <c r="L242" s="28"/>
      <c r="M242" s="5"/>
      <c r="N242" s="27"/>
      <c r="O242" s="5"/>
      <c r="P242" s="5"/>
      <c r="Q242" s="28"/>
      <c r="R242" s="5"/>
      <c r="S242" s="27"/>
      <c r="T242" s="5"/>
      <c r="U242" s="5"/>
      <c r="V242" s="28"/>
      <c r="W242" s="5"/>
      <c r="X242" s="27"/>
      <c r="Y242" s="5"/>
      <c r="Z242" s="5"/>
      <c r="AA242" s="28"/>
      <c r="AC242" s="5"/>
      <c r="AD242" s="27"/>
      <c r="AE242" s="5"/>
      <c r="AF242" s="27"/>
      <c r="AG242" s="5"/>
      <c r="AH242" s="5"/>
      <c r="AI242" s="27"/>
      <c r="AJ242" s="5"/>
      <c r="AK242" s="99"/>
      <c r="AL242" s="28"/>
      <c r="AM242" s="5"/>
      <c r="AN242" s="27"/>
      <c r="AO242" s="5"/>
      <c r="AP242" s="27"/>
      <c r="AQ242" s="28"/>
      <c r="AR242" s="5"/>
      <c r="AS242" s="27"/>
      <c r="AT242" s="5"/>
      <c r="AU242" s="99"/>
      <c r="AV242" s="28"/>
      <c r="AW242" s="5"/>
      <c r="AX242" s="27"/>
      <c r="AY242" s="5"/>
      <c r="AZ242" s="5"/>
      <c r="BA242" s="28"/>
    </row>
    <row r="243" spans="3:53" x14ac:dyDescent="0.25">
      <c r="C243" s="5"/>
      <c r="D243" s="27"/>
      <c r="E243" s="5"/>
      <c r="F243" s="27"/>
      <c r="G243" s="5"/>
      <c r="H243" s="5"/>
      <c r="I243" s="27"/>
      <c r="J243" s="5"/>
      <c r="K243" s="5"/>
      <c r="L243" s="28"/>
      <c r="M243" s="5"/>
      <c r="N243" s="27"/>
      <c r="O243" s="5"/>
      <c r="P243" s="5"/>
      <c r="Q243" s="28"/>
      <c r="R243" s="5"/>
      <c r="S243" s="27"/>
      <c r="T243" s="5"/>
      <c r="U243" s="5"/>
      <c r="V243" s="28"/>
      <c r="W243" s="5"/>
      <c r="X243" s="27"/>
      <c r="Y243" s="5"/>
      <c r="Z243" s="5"/>
      <c r="AA243" s="28"/>
      <c r="AC243" s="5"/>
      <c r="AD243" s="27"/>
      <c r="AE243" s="5"/>
      <c r="AF243" s="27"/>
      <c r="AG243" s="5"/>
      <c r="AH243" s="5"/>
      <c r="AI243" s="27"/>
      <c r="AJ243" s="5"/>
      <c r="AK243" s="99"/>
      <c r="AL243" s="28"/>
      <c r="AM243" s="5"/>
      <c r="AN243" s="27"/>
      <c r="AO243" s="5"/>
      <c r="AP243" s="27"/>
      <c r="AQ243" s="28"/>
      <c r="AR243" s="5"/>
      <c r="AS243" s="27"/>
      <c r="AT243" s="5"/>
      <c r="AU243" s="99"/>
      <c r="AV243" s="28"/>
      <c r="AW243" s="5"/>
      <c r="AX243" s="27"/>
      <c r="AY243" s="5"/>
      <c r="AZ243" s="5"/>
      <c r="BA243" s="28"/>
    </row>
    <row r="244" spans="3:53" x14ac:dyDescent="0.25">
      <c r="C244" s="5"/>
      <c r="D244" s="27"/>
      <c r="E244" s="5"/>
      <c r="F244" s="27"/>
      <c r="G244" s="5"/>
      <c r="H244" s="5"/>
      <c r="I244" s="27"/>
      <c r="J244" s="5"/>
      <c r="K244" s="5"/>
      <c r="L244" s="28"/>
      <c r="M244" s="5"/>
      <c r="N244" s="27"/>
      <c r="O244" s="5"/>
      <c r="P244" s="5"/>
      <c r="Q244" s="28"/>
      <c r="R244" s="5"/>
      <c r="S244" s="27"/>
      <c r="T244" s="5"/>
      <c r="U244" s="5"/>
      <c r="V244" s="28"/>
      <c r="W244" s="5"/>
      <c r="X244" s="27"/>
      <c r="Y244" s="5"/>
      <c r="Z244" s="5"/>
      <c r="AA244" s="28"/>
      <c r="AC244" s="5"/>
      <c r="AD244" s="27"/>
      <c r="AE244" s="5"/>
      <c r="AF244" s="27"/>
      <c r="AG244" s="5"/>
      <c r="AH244" s="5"/>
      <c r="AI244" s="27"/>
      <c r="AJ244" s="5"/>
      <c r="AK244" s="99"/>
      <c r="AL244" s="28"/>
      <c r="AM244" s="5"/>
      <c r="AN244" s="27"/>
      <c r="AO244" s="5"/>
      <c r="AP244" s="27"/>
      <c r="AQ244" s="28"/>
      <c r="AR244" s="5"/>
      <c r="AS244" s="27"/>
      <c r="AT244" s="5"/>
      <c r="AU244" s="99"/>
      <c r="AV244" s="28"/>
      <c r="AW244" s="5"/>
      <c r="AX244" s="27"/>
      <c r="AY244" s="5"/>
      <c r="AZ244" s="5"/>
      <c r="BA244" s="28"/>
    </row>
    <row r="245" spans="3:53" x14ac:dyDescent="0.25">
      <c r="C245" s="5"/>
      <c r="D245" s="27"/>
      <c r="E245" s="5"/>
      <c r="F245" s="27"/>
      <c r="G245" s="5"/>
      <c r="H245" s="5"/>
      <c r="I245" s="27"/>
      <c r="J245" s="5"/>
      <c r="K245" s="5"/>
      <c r="L245" s="28"/>
      <c r="M245" s="5"/>
      <c r="N245" s="27"/>
      <c r="O245" s="5"/>
      <c r="P245" s="5"/>
      <c r="Q245" s="28"/>
      <c r="R245" s="5"/>
      <c r="S245" s="27"/>
      <c r="T245" s="5"/>
      <c r="U245" s="5"/>
      <c r="V245" s="28"/>
      <c r="W245" s="5"/>
      <c r="X245" s="27"/>
      <c r="Y245" s="5"/>
      <c r="Z245" s="5"/>
      <c r="AA245" s="28"/>
      <c r="AC245" s="5"/>
      <c r="AD245" s="27"/>
      <c r="AE245" s="5"/>
      <c r="AF245" s="27"/>
      <c r="AG245" s="5"/>
      <c r="AH245" s="5"/>
      <c r="AI245" s="27"/>
      <c r="AJ245" s="5"/>
      <c r="AK245" s="99"/>
      <c r="AL245" s="28"/>
      <c r="AM245" s="5"/>
      <c r="AN245" s="27"/>
      <c r="AO245" s="5"/>
      <c r="AP245" s="27"/>
      <c r="AQ245" s="28"/>
      <c r="AR245" s="5"/>
      <c r="AS245" s="27"/>
      <c r="AT245" s="5"/>
      <c r="AU245" s="99"/>
      <c r="AV245" s="28"/>
      <c r="AW245" s="5"/>
      <c r="AX245" s="27"/>
      <c r="AY245" s="5"/>
      <c r="AZ245" s="5"/>
      <c r="BA245" s="28"/>
    </row>
    <row r="246" spans="3:53" x14ac:dyDescent="0.25">
      <c r="C246" s="5"/>
      <c r="D246" s="27"/>
      <c r="E246" s="5"/>
      <c r="F246" s="27"/>
      <c r="G246" s="5"/>
      <c r="H246" s="5"/>
      <c r="I246" s="27"/>
      <c r="J246" s="5"/>
      <c r="K246" s="5"/>
      <c r="L246" s="28"/>
      <c r="M246" s="5"/>
      <c r="N246" s="27"/>
      <c r="O246" s="5"/>
      <c r="P246" s="5"/>
      <c r="Q246" s="28"/>
      <c r="R246" s="5"/>
      <c r="S246" s="27"/>
      <c r="T246" s="5"/>
      <c r="U246" s="5"/>
      <c r="V246" s="28"/>
      <c r="W246" s="5"/>
      <c r="X246" s="27"/>
      <c r="Y246" s="5"/>
      <c r="Z246" s="5"/>
      <c r="AA246" s="28"/>
      <c r="AC246" s="5"/>
      <c r="AD246" s="27"/>
      <c r="AE246" s="5"/>
      <c r="AF246" s="27"/>
      <c r="AG246" s="5"/>
      <c r="AH246" s="5"/>
      <c r="AI246" s="27"/>
      <c r="AJ246" s="5"/>
      <c r="AK246" s="99"/>
      <c r="AL246" s="28"/>
      <c r="AM246" s="5"/>
      <c r="AN246" s="27"/>
      <c r="AO246" s="5"/>
      <c r="AP246" s="27"/>
      <c r="AQ246" s="28"/>
      <c r="AR246" s="5"/>
      <c r="AS246" s="27"/>
      <c r="AT246" s="5"/>
      <c r="AU246" s="99"/>
      <c r="AV246" s="28"/>
      <c r="AW246" s="5"/>
      <c r="AX246" s="27"/>
      <c r="AY246" s="5"/>
      <c r="AZ246" s="5"/>
      <c r="BA246" s="28"/>
    </row>
    <row r="247" spans="3:53" x14ac:dyDescent="0.25">
      <c r="C247" s="5"/>
      <c r="D247" s="27"/>
      <c r="E247" s="5"/>
      <c r="F247" s="27"/>
      <c r="G247" s="5"/>
      <c r="H247" s="5"/>
      <c r="I247" s="27"/>
      <c r="J247" s="5"/>
      <c r="K247" s="5"/>
      <c r="L247" s="28"/>
      <c r="M247" s="5"/>
      <c r="N247" s="27"/>
      <c r="O247" s="5"/>
      <c r="P247" s="5"/>
      <c r="Q247" s="28"/>
      <c r="R247" s="5"/>
      <c r="S247" s="27"/>
      <c r="T247" s="5"/>
      <c r="U247" s="5"/>
      <c r="V247" s="28"/>
      <c r="W247" s="5"/>
      <c r="X247" s="27"/>
      <c r="Y247" s="5"/>
      <c r="Z247" s="5"/>
      <c r="AA247" s="28"/>
      <c r="AC247" s="5"/>
      <c r="AD247" s="27"/>
      <c r="AE247" s="5"/>
      <c r="AF247" s="27"/>
      <c r="AG247" s="5"/>
      <c r="AH247" s="5"/>
      <c r="AI247" s="27"/>
      <c r="AJ247" s="5"/>
      <c r="AK247" s="99"/>
      <c r="AL247" s="28"/>
      <c r="AM247" s="5"/>
      <c r="AN247" s="27"/>
      <c r="AO247" s="5"/>
      <c r="AP247" s="27"/>
      <c r="AQ247" s="28"/>
      <c r="AR247" s="5"/>
      <c r="AS247" s="27"/>
      <c r="AT247" s="5"/>
      <c r="AU247" s="99"/>
      <c r="AV247" s="28"/>
      <c r="AW247" s="5"/>
      <c r="AX247" s="27"/>
      <c r="AY247" s="5"/>
      <c r="AZ247" s="5"/>
      <c r="BA247" s="28"/>
    </row>
    <row r="248" spans="3:53" x14ac:dyDescent="0.25">
      <c r="C248" s="5"/>
      <c r="D248" s="27"/>
      <c r="E248" s="5"/>
      <c r="F248" s="27"/>
      <c r="G248" s="5"/>
      <c r="H248" s="5"/>
      <c r="I248" s="27"/>
      <c r="J248" s="5"/>
      <c r="K248" s="5"/>
      <c r="L248" s="28"/>
      <c r="M248" s="5"/>
      <c r="N248" s="27"/>
      <c r="O248" s="5"/>
      <c r="P248" s="5"/>
      <c r="Q248" s="28"/>
      <c r="R248" s="5"/>
      <c r="S248" s="27"/>
      <c r="T248" s="5"/>
      <c r="U248" s="5"/>
      <c r="V248" s="28"/>
      <c r="W248" s="5"/>
      <c r="X248" s="27"/>
      <c r="Y248" s="5"/>
      <c r="Z248" s="5"/>
      <c r="AA248" s="28"/>
      <c r="AC248" s="5"/>
      <c r="AD248" s="27"/>
      <c r="AE248" s="5"/>
      <c r="AF248" s="27"/>
      <c r="AG248" s="5"/>
      <c r="AH248" s="5"/>
      <c r="AI248" s="27"/>
      <c r="AJ248" s="5"/>
      <c r="AK248" s="99"/>
      <c r="AL248" s="28"/>
      <c r="AM248" s="5"/>
      <c r="AN248" s="27"/>
      <c r="AO248" s="5"/>
      <c r="AP248" s="27"/>
      <c r="AQ248" s="28"/>
      <c r="AR248" s="5"/>
      <c r="AS248" s="27"/>
      <c r="AT248" s="5"/>
      <c r="AU248" s="99"/>
      <c r="AV248" s="28"/>
      <c r="AW248" s="5"/>
      <c r="AX248" s="27"/>
      <c r="AY248" s="5"/>
      <c r="AZ248" s="5"/>
      <c r="BA248" s="28"/>
    </row>
    <row r="249" spans="3:53" x14ac:dyDescent="0.25">
      <c r="C249" s="5"/>
      <c r="D249" s="27"/>
      <c r="E249" s="5"/>
      <c r="F249" s="27"/>
      <c r="G249" s="5"/>
      <c r="H249" s="5"/>
      <c r="I249" s="27"/>
      <c r="J249" s="5"/>
      <c r="K249" s="5"/>
      <c r="L249" s="28"/>
      <c r="M249" s="5"/>
      <c r="N249" s="27"/>
      <c r="O249" s="5"/>
      <c r="P249" s="5"/>
      <c r="Q249" s="28"/>
      <c r="R249" s="5"/>
      <c r="S249" s="27"/>
      <c r="T249" s="5"/>
      <c r="U249" s="5"/>
      <c r="V249" s="28"/>
      <c r="W249" s="5"/>
      <c r="X249" s="27"/>
      <c r="Y249" s="5"/>
      <c r="Z249" s="5"/>
      <c r="AA249" s="28"/>
      <c r="AC249" s="5"/>
      <c r="AD249" s="27"/>
      <c r="AE249" s="5"/>
      <c r="AF249" s="27"/>
      <c r="AG249" s="5"/>
      <c r="AH249" s="5"/>
      <c r="AI249" s="27"/>
      <c r="AJ249" s="5"/>
      <c r="AK249" s="99"/>
      <c r="AL249" s="28"/>
      <c r="AM249" s="5"/>
      <c r="AN249" s="27"/>
      <c r="AO249" s="5"/>
      <c r="AP249" s="27"/>
      <c r="AQ249" s="28"/>
      <c r="AR249" s="5"/>
      <c r="AS249" s="27"/>
      <c r="AT249" s="5"/>
      <c r="AU249" s="99"/>
      <c r="AV249" s="28"/>
      <c r="AW249" s="5"/>
      <c r="AX249" s="27"/>
      <c r="AY249" s="5"/>
      <c r="AZ249" s="5"/>
      <c r="BA249" s="28"/>
    </row>
    <row r="250" spans="3:53" x14ac:dyDescent="0.25">
      <c r="C250" s="5"/>
      <c r="D250" s="27"/>
      <c r="E250" s="5"/>
      <c r="F250" s="27"/>
      <c r="G250" s="5"/>
      <c r="H250" s="5"/>
      <c r="I250" s="27"/>
      <c r="J250" s="5"/>
      <c r="K250" s="5"/>
      <c r="L250" s="28"/>
      <c r="M250" s="5"/>
      <c r="N250" s="27"/>
      <c r="O250" s="5"/>
      <c r="P250" s="5"/>
      <c r="Q250" s="28"/>
      <c r="R250" s="5"/>
      <c r="S250" s="27"/>
      <c r="T250" s="5"/>
      <c r="U250" s="5"/>
      <c r="V250" s="28"/>
      <c r="W250" s="5"/>
      <c r="X250" s="27"/>
      <c r="Y250" s="5"/>
      <c r="Z250" s="5"/>
      <c r="AA250" s="28"/>
      <c r="AC250" s="5"/>
      <c r="AD250" s="27"/>
      <c r="AE250" s="5"/>
      <c r="AF250" s="27"/>
      <c r="AG250" s="5"/>
      <c r="AH250" s="5"/>
      <c r="AI250" s="27"/>
      <c r="AJ250" s="5"/>
      <c r="AK250" s="99"/>
      <c r="AL250" s="28"/>
      <c r="AM250" s="5"/>
      <c r="AN250" s="27"/>
      <c r="AO250" s="5"/>
      <c r="AP250" s="27"/>
      <c r="AQ250" s="28"/>
      <c r="AR250" s="5"/>
      <c r="AS250" s="27"/>
      <c r="AT250" s="5"/>
      <c r="AU250" s="99"/>
      <c r="AV250" s="28"/>
      <c r="AW250" s="5"/>
      <c r="AX250" s="27"/>
      <c r="AY250" s="5"/>
      <c r="AZ250" s="5"/>
      <c r="BA250" s="28"/>
    </row>
    <row r="251" spans="3:53" x14ac:dyDescent="0.25">
      <c r="S251" s="27"/>
      <c r="T251" s="5"/>
      <c r="U251" s="5"/>
      <c r="V251" s="28"/>
      <c r="AS251" s="27"/>
      <c r="AT251" s="5"/>
      <c r="AU251" s="99"/>
      <c r="AV251" s="28"/>
    </row>
    <row r="252" spans="3:53" x14ac:dyDescent="0.25">
      <c r="S252" s="27"/>
      <c r="T252" s="5"/>
      <c r="U252" s="5"/>
      <c r="V252" s="28"/>
      <c r="AS252" s="27"/>
      <c r="AT252" s="5"/>
      <c r="AU252" s="99"/>
      <c r="AV252" s="28"/>
    </row>
    <row r="253" spans="3:53" x14ac:dyDescent="0.25">
      <c r="S253" s="27"/>
      <c r="T253" s="5"/>
      <c r="U253" s="5"/>
      <c r="V253" s="28"/>
      <c r="AS253" s="27"/>
      <c r="AT253" s="5"/>
      <c r="AU253" s="99"/>
      <c r="AV253" s="28"/>
    </row>
  </sheetData>
  <autoFilter ref="B3:BA135" xr:uid="{FE40BDC0-3932-4DC7-81C9-17EE5915B77A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Races</vt:lpstr>
      <vt:lpstr>Nike training program_42k</vt:lpstr>
      <vt:lpstr>Nike pace chart</vt:lpstr>
      <vt:lpstr>Individual pace</vt:lpstr>
      <vt:lpstr>Reference &gt;&gt;</vt:lpstr>
      <vt:lpstr>Marathon pace</vt:lpstr>
      <vt:lpstr>Map</vt:lpstr>
      <vt:lpstr>Nike training program_10k</vt:lpstr>
      <vt:lpstr>Daily workout</vt:lpstr>
      <vt:lpstr>Nike training program_21k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Jeongbin Kim</dc:creator>
  <cp:lastModifiedBy>Jeongbin Kim</cp:lastModifiedBy>
  <dcterms:created xsi:type="dcterms:W3CDTF">2025-08-08T16:30:14Z</dcterms:created>
  <dcterms:modified xsi:type="dcterms:W3CDTF">2026-05-17T14:57:43Z</dcterms:modified>
</cp:coreProperties>
</file>